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thsemester\Hospital Analytics Project\Excel\"/>
    </mc:Choice>
  </mc:AlternateContent>
  <xr:revisionPtr revIDLastSave="0" documentId="8_{F4129461-D743-457A-9004-90BECF485E25}" xr6:coauthVersionLast="47" xr6:coauthVersionMax="47" xr10:uidLastSave="{00000000-0000-0000-0000-000000000000}"/>
  <bookViews>
    <workbookView xWindow="-110" yWindow="-110" windowWidth="19420" windowHeight="10300" firstSheet="1" activeTab="4" xr2:uid="{DF81A7F0-1651-43DF-8850-462DB52CCEBE}"/>
  </bookViews>
  <sheets>
    <sheet name="Patients" sheetId="1" r:id="rId1"/>
    <sheet name="Doctors" sheetId="2" r:id="rId2"/>
    <sheet name="Appointments" sheetId="3" r:id="rId3"/>
    <sheet name="Treatments" sheetId="4" r:id="rId4"/>
    <sheet name="Billing" sheetId="5" r:id="rId5"/>
    <sheet name="KPI_Dashboard" sheetId="6" r:id="rId6"/>
    <sheet name="Pivot_Reports" sheetId="7" r:id="rId7"/>
    <sheet name="Dashboard" sheetId="8" r:id="rId8"/>
  </sheets>
  <calcPr calcId="191029"/>
  <pivotCaches>
    <pivotCache cacheId="31" r:id="rId9"/>
    <pivotCache cacheId="35" r:id="rId10"/>
    <pivotCache cacheId="28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8" l="1"/>
  <c r="F4" i="8"/>
  <c r="J4" i="8"/>
  <c r="N4" i="8"/>
  <c r="B9" i="6"/>
  <c r="B8" i="6"/>
  <c r="B7" i="6"/>
  <c r="B6" i="6"/>
  <c r="B5" i="6"/>
  <c r="B4" i="6"/>
  <c r="B3" i="6"/>
  <c r="B1" i="6"/>
  <c r="B2" i="6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I2" i="2"/>
  <c r="I3" i="2"/>
  <c r="I4" i="2"/>
  <c r="I5" i="2"/>
  <c r="I6" i="2"/>
  <c r="I7" i="2"/>
  <c r="I8" i="2"/>
  <c r="I9" i="2"/>
  <c r="I10" i="2"/>
  <c r="I11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</calcChain>
</file>

<file path=xl/sharedStrings.xml><?xml version="1.0" encoding="utf-8"?>
<sst xmlns="http://schemas.openxmlformats.org/spreadsheetml/2006/main" count="3375" uniqueCount="903">
  <si>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</si>
  <si>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</si>
  <si>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</si>
  <si>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</si>
  <si>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</si>
  <si>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</si>
  <si>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</si>
  <si>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</si>
  <si>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</si>
  <si>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</si>
  <si>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</si>
  <si>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</si>
  <si>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</si>
  <si>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</si>
  <si>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</si>
  <si>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</si>
  <si>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</si>
  <si>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</si>
  <si>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</si>
  <si>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</si>
  <si>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</si>
  <si>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</si>
  <si>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</si>
  <si>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</si>
  <si>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</si>
  <si>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</si>
  <si>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</si>
  <si>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</si>
  <si>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</si>
  <si>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</si>
  <si>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</si>
  <si>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</si>
  <si>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</si>
  <si>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</si>
  <si>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</si>
  <si>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</si>
  <si>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</si>
  <si>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</si>
  <si>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</si>
  <si>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</si>
  <si>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</si>
  <si>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</si>
  <si>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</si>
  <si>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</si>
  <si>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</si>
  <si>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</si>
  <si>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</si>
  <si>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</si>
  <si>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</si>
  <si>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</si>
  <si>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</si>
  <si>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</si>
  <si>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</si>
  <si>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</si>
  <si>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</si>
  <si>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</si>
  <si>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</si>
  <si>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</si>
  <si>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</si>
  <si>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</si>
  <si>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</si>
  <si>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</si>
  <si>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</si>
  <si>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</si>
  <si>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</si>
  <si>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</si>
  <si>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</si>
  <si>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</si>
  <si>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</si>
  <si>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</si>
  <si>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</si>
  <si>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</si>
  <si>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</si>
  <si>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</si>
  <si>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</si>
  <si>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</si>
  <si>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</si>
  <si>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</si>
  <si>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</si>
  <si>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</si>
  <si>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</si>
  <si>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</si>
  <si>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</si>
  <si>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</si>
  <si>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</si>
  <si>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</si>
  <si>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</si>
  <si>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</si>
  <si>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</si>
  <si>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</si>
  <si>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</si>
  <si>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</si>
  <si>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</si>
  <si>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</si>
  <si>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</si>
  <si>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</si>
  <si>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</si>
  <si>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</si>
  <si>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</si>
  <si>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</si>
  <si>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</si>
  <si>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</si>
  <si>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</si>
  <si>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</si>
  <si>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</si>
  <si>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</si>
  <si>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</si>
  <si>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</si>
  <si>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</si>
  <si>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</si>
  <si>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</si>
  <si>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</si>
  <si>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</si>
  <si>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</si>
  <si>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</si>
  <si>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</si>
  <si>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</si>
  <si>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</si>
  <si>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</si>
  <si>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</si>
  <si>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</si>
  <si>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</si>
  <si>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</si>
  <si>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</si>
  <si>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</si>
  <si>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</si>
  <si>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</si>
  <si>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</si>
  <si>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</si>
  <si>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</si>
  <si>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</si>
  <si>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</si>
  <si>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</si>
  <si>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</si>
  <si>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</si>
  <si>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</si>
  <si>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</si>
  <si>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</si>
  <si>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</si>
  <si>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</si>
  <si>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</si>
  <si>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</si>
  <si>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</si>
  <si>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</si>
  <si>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</si>
  <si>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</si>
  <si>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</si>
  <si>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</si>
  <si>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</si>
  <si>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</si>
  <si>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</si>
  <si>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</si>
  <si>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</si>
  <si>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</si>
  <si>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</si>
  <si>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</si>
  <si>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</si>
  <si>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</si>
  <si>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</si>
  <si>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</si>
  <si>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</si>
  <si>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</si>
  <si>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</si>
  <si>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</si>
  <si>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</si>
  <si>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</si>
  <si>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</si>
  <si>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</si>
  <si>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</si>
  <si>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</si>
  <si>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</si>
  <si>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</si>
  <si>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</si>
  <si>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</si>
  <si>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</si>
  <si>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</si>
  <si>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</si>
  <si>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</si>
  <si>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</si>
  <si>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</si>
  <si>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doctor_id</t>
  </si>
  <si>
    <t>specialization</t>
  </si>
  <si>
    <t>phone_number</t>
  </si>
  <si>
    <t>years_experience</t>
  </si>
  <si>
    <t>hospital_branch</t>
  </si>
  <si>
    <t>D001</t>
  </si>
  <si>
    <t>Dermatology</t>
  </si>
  <si>
    <t>Westside Clinic</t>
  </si>
  <si>
    <t>dr.david.taylor@hospital.com</t>
  </si>
  <si>
    <t>D002</t>
  </si>
  <si>
    <t>Pediatrics</t>
  </si>
  <si>
    <t>Eastside Clinic</t>
  </si>
  <si>
    <t>dr.jane.davis@hospital.com</t>
  </si>
  <si>
    <t>D003</t>
  </si>
  <si>
    <t>dr.jane.smith@hospital.com</t>
  </si>
  <si>
    <t>D004</t>
  </si>
  <si>
    <t>Central Hospital</t>
  </si>
  <si>
    <t>dr.david.jones@hospital.com</t>
  </si>
  <si>
    <t>D005</t>
  </si>
  <si>
    <t>dr.sarah.taylor@hospital.com</t>
  </si>
  <si>
    <t>D006</t>
  </si>
  <si>
    <t>dr.alex.davis@hospital.com</t>
  </si>
  <si>
    <t>D007</t>
  </si>
  <si>
    <t>Oncology</t>
  </si>
  <si>
    <t>dr.robert.davis@hospital.com</t>
  </si>
  <si>
    <t>D008</t>
  </si>
  <si>
    <t>dr.linda.brown@hospital.com</t>
  </si>
  <si>
    <t>D009</t>
  </si>
  <si>
    <t>dr.sarah.smith@hospital.com</t>
  </si>
  <si>
    <t>D010</t>
  </si>
  <si>
    <t>dr.linda.wilson@hospital.com</t>
  </si>
  <si>
    <t>appointment_id</t>
  </si>
  <si>
    <t>appointment_date</t>
  </si>
  <si>
    <t>appointment_time</t>
  </si>
  <si>
    <t>reason_for_visit</t>
  </si>
  <si>
    <t>status</t>
  </si>
  <si>
    <t>A001</t>
  </si>
  <si>
    <t>Therapy</t>
  </si>
  <si>
    <t>Scheduled</t>
  </si>
  <si>
    <t>A002</t>
  </si>
  <si>
    <t>No-show</t>
  </si>
  <si>
    <t>A003</t>
  </si>
  <si>
    <t>Consultation</t>
  </si>
  <si>
    <t>Cancelled</t>
  </si>
  <si>
    <t>A004</t>
  </si>
  <si>
    <t>A005</t>
  </si>
  <si>
    <t>Emergency</t>
  </si>
  <si>
    <t>A006</t>
  </si>
  <si>
    <t>Checkup</t>
  </si>
  <si>
    <t>A007</t>
  </si>
  <si>
    <t>A008</t>
  </si>
  <si>
    <t>A009</t>
  </si>
  <si>
    <t>Follow-up</t>
  </si>
  <si>
    <t>A010</t>
  </si>
  <si>
    <t>Completed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</si>
  <si>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</si>
  <si>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</si>
  <si>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</si>
  <si>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</si>
  <si>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</si>
  <si>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</si>
  <si>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</si>
  <si>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</si>
  <si>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</si>
  <si>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</si>
  <si>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</si>
  <si>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</si>
  <si>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</si>
  <si>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</si>
  <si>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</si>
  <si>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</si>
  <si>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</si>
  <si>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</si>
  <si>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</si>
  <si>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</si>
  <si>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</si>
  <si>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</si>
  <si>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</si>
  <si>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</si>
  <si>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</si>
  <si>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</si>
  <si>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</si>
  <si>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</si>
  <si>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</si>
  <si>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</si>
  <si>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</si>
  <si>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</si>
  <si>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</si>
  <si>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</si>
  <si>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</si>
  <si>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</si>
  <si>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</si>
  <si>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</si>
  <si>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</si>
  <si>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</si>
  <si>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</si>
  <si>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</si>
  <si>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</si>
  <si>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</si>
  <si>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</si>
  <si>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</si>
  <si>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</si>
  <si>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</si>
  <si>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</si>
  <si>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</si>
  <si>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</si>
  <si>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</si>
  <si>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</si>
  <si>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</si>
  <si>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</si>
  <si>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</si>
  <si>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</si>
  <si>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</si>
  <si>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</si>
  <si>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</si>
  <si>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</si>
  <si>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</si>
  <si>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</si>
  <si>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</si>
  <si>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</si>
  <si>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</si>
  <si>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</si>
  <si>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</si>
  <si>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</si>
  <si>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</si>
  <si>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</si>
  <si>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</si>
  <si>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</si>
  <si>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</si>
  <si>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</si>
  <si>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</si>
  <si>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</si>
  <si>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</si>
  <si>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</si>
  <si>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</si>
  <si>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</si>
  <si>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</si>
  <si>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</si>
  <si>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</si>
  <si>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</si>
  <si>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</si>
  <si>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</si>
  <si>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</si>
  <si>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</si>
  <si>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</si>
  <si>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</si>
  <si>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</si>
  <si>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</si>
  <si>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</si>
  <si>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</si>
  <si>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</si>
  <si>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</si>
  <si>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</si>
  <si>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</si>
  <si>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</si>
  <si>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</si>
  <si>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</si>
  <si>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</si>
  <si>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</si>
  <si>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</si>
  <si>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</si>
  <si>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</si>
  <si>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</si>
  <si>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</si>
  <si>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</si>
  <si>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</si>
  <si>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</si>
  <si>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</si>
  <si>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</si>
  <si>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</si>
  <si>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</si>
  <si>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</si>
  <si>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</si>
  <si>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</si>
  <si>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</si>
  <si>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</si>
  <si>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</si>
  <si>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</si>
  <si>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</si>
  <si>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</si>
  <si>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</si>
  <si>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</si>
  <si>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</si>
  <si>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</si>
  <si>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</si>
  <si>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</si>
  <si>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</si>
  <si>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</si>
  <si>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</si>
  <si>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</si>
  <si>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</si>
  <si>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</si>
  <si>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</si>
  <si>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</si>
  <si>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</si>
  <si>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</si>
  <si>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</si>
  <si>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</si>
  <si>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</si>
  <si>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</si>
  <si>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</si>
  <si>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</si>
  <si>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</si>
  <si>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</si>
  <si>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</si>
  <si>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</si>
  <si>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</si>
  <si>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</si>
  <si>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</si>
  <si>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</si>
  <si>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</si>
  <si>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</si>
  <si>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</si>
  <si>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</si>
  <si>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</si>
  <si>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</si>
  <si>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</si>
  <si>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</si>
  <si>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</si>
  <si>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</si>
  <si>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</si>
  <si>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</si>
  <si>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</si>
  <si>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</si>
  <si>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</si>
  <si>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</si>
  <si>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</si>
  <si>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</si>
  <si>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</si>
  <si>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</si>
  <si>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</si>
  <si>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</si>
  <si>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</si>
  <si>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</si>
  <si>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</si>
  <si>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</si>
  <si>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</si>
  <si>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</si>
  <si>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</si>
  <si>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</si>
  <si>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</si>
  <si>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</si>
  <si>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</si>
  <si>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</si>
  <si>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</si>
  <si>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treatment_id</t>
  </si>
  <si>
    <t>treatment_type</t>
  </si>
  <si>
    <t>description</t>
  </si>
  <si>
    <t>cost</t>
  </si>
  <si>
    <t>treatment_date</t>
  </si>
  <si>
    <t>T001</t>
  </si>
  <si>
    <t>Chemotherapy</t>
  </si>
  <si>
    <t>Basic screening</t>
  </si>
  <si>
    <t>T002</t>
  </si>
  <si>
    <t>MRI</t>
  </si>
  <si>
    <t>Advanced protocol</t>
  </si>
  <si>
    <t>T003</t>
  </si>
  <si>
    <t>Standard procedure</t>
  </si>
  <si>
    <t>T004</t>
  </si>
  <si>
    <t>T005</t>
  </si>
  <si>
    <t>ECG</t>
  </si>
  <si>
    <t>T006</t>
  </si>
  <si>
    <t>T007</t>
  </si>
  <si>
    <t>T008</t>
  </si>
  <si>
    <t>Physiotherapy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</si>
  <si>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</si>
  <si>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</si>
  <si>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</si>
  <si>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</si>
  <si>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</si>
  <si>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</si>
  <si>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</si>
  <si>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</si>
  <si>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</si>
  <si>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</si>
  <si>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</si>
  <si>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X-Ray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</si>
  <si>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</si>
  <si>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</si>
  <si>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</si>
  <si>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</si>
  <si>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</si>
  <si>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</si>
  <si>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</si>
  <si>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</si>
  <si>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</si>
  <si>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</si>
  <si>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</si>
  <si>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</si>
  <si>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</si>
  <si>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</si>
  <si>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</si>
  <si>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</si>
  <si>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</si>
  <si>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</si>
  <si>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</si>
  <si>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</si>
  <si>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</si>
  <si>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</si>
  <si>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</si>
  <si>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</si>
  <si>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</si>
  <si>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</si>
  <si>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</si>
  <si>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</si>
  <si>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</si>
  <si>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</si>
  <si>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</si>
  <si>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</si>
  <si>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</si>
  <si>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</si>
  <si>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</si>
  <si>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</si>
  <si>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</si>
  <si>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</si>
  <si>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</si>
  <si>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</si>
  <si>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</si>
  <si>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</si>
  <si>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</si>
  <si>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</si>
  <si>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</si>
  <si>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</si>
  <si>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</si>
  <si>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</si>
  <si>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</si>
  <si>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</si>
  <si>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</si>
  <si>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</si>
  <si>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</si>
  <si>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</si>
  <si>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</si>
  <si>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</si>
  <si>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</si>
  <si>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</si>
  <si>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</si>
  <si>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</si>
  <si>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</si>
  <si>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</si>
  <si>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</si>
  <si>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</si>
  <si>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</si>
  <si>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</si>
  <si>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</si>
  <si>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</si>
  <si>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</si>
  <si>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</si>
  <si>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</si>
  <si>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</si>
  <si>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</si>
  <si>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</si>
  <si>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</si>
  <si>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</si>
  <si>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</si>
  <si>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</si>
  <si>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</si>
  <si>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</si>
  <si>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</si>
  <si>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</si>
  <si>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</si>
  <si>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</si>
  <si>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</si>
  <si>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</si>
  <si>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</si>
  <si>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</si>
  <si>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</si>
  <si>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</si>
  <si>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</si>
  <si>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</si>
  <si>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</si>
  <si>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</si>
  <si>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</si>
  <si>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</si>
  <si>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</si>
  <si>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</si>
  <si>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</si>
  <si>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</si>
  <si>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</si>
  <si>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</si>
  <si>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</si>
  <si>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</si>
  <si>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</si>
  <si>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</si>
  <si>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</si>
  <si>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</si>
  <si>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</si>
  <si>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</si>
  <si>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</si>
  <si>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</si>
  <si>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</si>
  <si>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</si>
  <si>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</si>
  <si>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</si>
  <si>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</si>
  <si>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</si>
  <si>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</si>
  <si>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</si>
  <si>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</si>
  <si>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</si>
  <si>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</si>
  <si>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</si>
  <si>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</si>
  <si>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</si>
  <si>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</si>
  <si>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</si>
  <si>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</si>
  <si>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</si>
  <si>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</si>
  <si>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</si>
  <si>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</si>
  <si>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</si>
  <si>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</si>
  <si>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</si>
  <si>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</si>
  <si>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</si>
  <si>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</si>
  <si>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</si>
  <si>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</si>
  <si>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</si>
  <si>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</si>
  <si>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</si>
  <si>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</si>
  <si>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</si>
  <si>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</si>
  <si>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</si>
  <si>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</si>
  <si>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</si>
  <si>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</si>
  <si>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</si>
  <si>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</si>
  <si>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</si>
  <si>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</si>
  <si>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</si>
  <si>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</si>
  <si>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</si>
  <si>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</si>
  <si>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</si>
  <si>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</si>
  <si>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</si>
  <si>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</si>
  <si>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</si>
  <si>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</si>
  <si>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</si>
  <si>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</si>
  <si>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</si>
  <si>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</si>
  <si>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</si>
  <si>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</si>
  <si>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</si>
  <si>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</si>
  <si>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</si>
  <si>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</si>
  <si>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</si>
  <si>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</si>
  <si>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</si>
  <si>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</si>
  <si>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</si>
  <si>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</si>
  <si>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bill_id</t>
  </si>
  <si>
    <t>bill_date</t>
  </si>
  <si>
    <t>amount</t>
  </si>
  <si>
    <t>payment_method</t>
  </si>
  <si>
    <t>payment_status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</si>
  <si>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</si>
  <si>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</si>
  <si>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</si>
  <si>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</si>
  <si>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</si>
  <si>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</si>
  <si>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</si>
  <si>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</si>
  <si>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</si>
  <si>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</si>
  <si>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</si>
  <si>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</si>
  <si>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</si>
  <si>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</si>
  <si>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</si>
  <si>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</si>
  <si>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</si>
  <si>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</si>
  <si>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</si>
  <si>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</si>
  <si>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</si>
  <si>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</si>
  <si>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</si>
  <si>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</si>
  <si>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</si>
  <si>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</si>
  <si>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</si>
  <si>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</si>
  <si>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</si>
  <si>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</si>
  <si>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</si>
  <si>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</si>
  <si>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</si>
  <si>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</si>
  <si>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</si>
  <si>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</si>
  <si>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</si>
  <si>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</si>
  <si>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</si>
  <si>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</si>
  <si>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</si>
  <si>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</si>
  <si>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</si>
  <si>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</si>
  <si>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</si>
  <si>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</si>
  <si>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</si>
  <si>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</si>
  <si>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</si>
  <si>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</si>
  <si>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</si>
  <si>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</si>
  <si>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</si>
  <si>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</si>
  <si>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</si>
  <si>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</si>
  <si>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</si>
  <si>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</si>
  <si>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</si>
  <si>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</si>
  <si>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</si>
  <si>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</si>
  <si>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</si>
  <si>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</si>
  <si>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</si>
  <si>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</si>
  <si>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</si>
  <si>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</si>
  <si>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</si>
  <si>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</si>
  <si>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</si>
  <si>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</si>
  <si>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</si>
  <si>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</si>
  <si>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</si>
  <si>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</si>
  <si>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</si>
  <si>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</si>
  <si>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</si>
  <si>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</si>
  <si>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</si>
  <si>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</si>
  <si>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</si>
  <si>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</si>
  <si>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</si>
  <si>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</si>
  <si>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</si>
  <si>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</si>
  <si>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</si>
  <si>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</si>
  <si>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</si>
  <si>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</si>
  <si>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</si>
  <si>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</si>
  <si>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</si>
  <si>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</si>
  <si>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</si>
  <si>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</si>
  <si>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</si>
  <si>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</si>
  <si>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</si>
  <si>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</si>
  <si>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</si>
  <si>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</si>
  <si>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</si>
  <si>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</si>
  <si>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</si>
  <si>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</si>
  <si>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</si>
  <si>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</si>
  <si>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</si>
  <si>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</si>
  <si>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</si>
  <si>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</si>
  <si>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</si>
  <si>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</si>
  <si>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</si>
  <si>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</si>
  <si>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</si>
  <si>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</si>
  <si>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</si>
  <si>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</si>
  <si>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</si>
  <si>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</si>
  <si>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</si>
  <si>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</si>
  <si>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</si>
  <si>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</si>
  <si>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</si>
  <si>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</si>
  <si>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</si>
  <si>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</si>
  <si>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</si>
  <si>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</si>
  <si>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</si>
  <si>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</si>
  <si>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</si>
  <si>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</si>
  <si>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</si>
  <si>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</si>
  <si>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</si>
  <si>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</si>
  <si>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</si>
  <si>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</si>
  <si>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</si>
  <si>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</si>
  <si>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</si>
  <si>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</si>
  <si>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</si>
  <si>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</si>
  <si>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</si>
  <si>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</si>
  <si>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</si>
  <si>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</si>
  <si>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</si>
  <si>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</si>
  <si>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</si>
  <si>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</si>
  <si>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</si>
  <si>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</si>
  <si>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</si>
  <si>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</si>
  <si>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</si>
  <si>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</si>
  <si>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</si>
  <si>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</si>
  <si>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</si>
  <si>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</si>
  <si>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</si>
  <si>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</si>
  <si>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</si>
  <si>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</si>
  <si>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</si>
  <si>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</si>
  <si>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</si>
  <si>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</si>
  <si>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</si>
  <si>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</si>
  <si>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</si>
  <si>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</si>
  <si>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</si>
  <si>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</si>
  <si>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</si>
  <si>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</si>
  <si>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</si>
  <si>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</si>
  <si>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</si>
  <si>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</si>
  <si>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</si>
  <si>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</si>
  <si>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</si>
  <si>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</si>
  <si>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</si>
  <si>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</si>
  <si>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</si>
  <si>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</si>
  <si>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</si>
  <si>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</si>
  <si>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</si>
  <si>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</si>
  <si>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</si>
  <si>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</si>
  <si>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</si>
  <si>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</si>
  <si>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</si>
  <si>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</si>
  <si>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Full_name</t>
  </si>
  <si>
    <t>Revenue_category</t>
  </si>
  <si>
    <t>Appointment_month</t>
  </si>
  <si>
    <t>Appointment_year</t>
  </si>
  <si>
    <t>Age</t>
  </si>
  <si>
    <t>Age_Group</t>
  </si>
  <si>
    <t>Patient_Name</t>
  </si>
  <si>
    <t>Doctor_Name</t>
  </si>
  <si>
    <t>Total Patients</t>
  </si>
  <si>
    <t>Total Appointments</t>
  </si>
  <si>
    <t>Total Revenue</t>
  </si>
  <si>
    <t>Average Billing Ammont</t>
  </si>
  <si>
    <t>Highest Billing</t>
  </si>
  <si>
    <t>Lowest Billing</t>
  </si>
  <si>
    <t>Count Completed Appointments</t>
  </si>
  <si>
    <t>Count Cancelled</t>
  </si>
  <si>
    <t>Count No-Show</t>
  </si>
  <si>
    <t>Row Labels</t>
  </si>
  <si>
    <t>Grand Total</t>
  </si>
  <si>
    <t>Sum of amount</t>
  </si>
  <si>
    <t>Payment Status</t>
  </si>
  <si>
    <t>Revenue</t>
  </si>
  <si>
    <t>Count of appointment_id</t>
  </si>
  <si>
    <t>Status</t>
  </si>
  <si>
    <t>Adult</t>
  </si>
  <si>
    <t>Senior</t>
  </si>
  <si>
    <t>Count of patient_id</t>
  </si>
  <si>
    <t>Hospital Analytics Dashboard</t>
  </si>
  <si>
    <t>Adult Patients</t>
  </si>
  <si>
    <t>Completed Appointments</t>
  </si>
  <si>
    <t>Created By:Ansa Maqsood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</si>
  <si>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</si>
  <si>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</si>
  <si>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</si>
  <si>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</si>
  <si>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</si>
  <si>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</si>
  <si>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</si>
  <si>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</si>
  <si>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</si>
  <si>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</si>
  <si>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</si>
  <si>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</si>
  <si>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Alex Davis</t>
  </si>
  <si>
    <t>David Jones</t>
  </si>
  <si>
    <t>David Taylor</t>
  </si>
  <si>
    <t>Jane Davis</t>
  </si>
  <si>
    <t>Jane Smith</t>
  </si>
  <si>
    <t>Linda Brown</t>
  </si>
  <si>
    <t>Linda Wilson</t>
  </si>
  <si>
    <t>Robert Davis</t>
  </si>
  <si>
    <t>Sarah Smith</t>
  </si>
  <si>
    <t>Sarah Taylor</t>
  </si>
  <si>
    <t>Doctor_name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</si>
</sst>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1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3" fontId="3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3" fontId="5" fillId="4" borderId="0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19">
    <dxf>
      <numFmt numFmtId="1" formatCode="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30" formatCode="@"/>
    </dxf>
    <dxf>
      <numFmt numFmtId="19" formatCode="m/d/yyyy"/>
    </dxf>
  </dxfs>
  <tableStyles count="0" defaultTableStyle="TableStyleMedium2" defaultPivotStyle="PivotStyleLight16"/>
  <colors>
    <mruColors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[Hospital_Analytics_Dashboard.xlsx]Pivot_Reports!PivotTable1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Payment Status</a:t>
            </a:r>
            <a:endParaRPr lang="en-US"/>
          </a:p>
        </c:rich>
      </c:tx>
      <c:layout>
        <c:manualLayout>
          <c:xMode val="edge"/>
          <c:yMode val="edge"/>
          <c:x val="0.2503522205206738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Pivot_Reports!$B$1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13-41B0-9B8D-5E462FEB2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13-41B0-9B8D-5E462FEB20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13-41B0-9B8D-5E462FEB20A5}"/>
              </c:ext>
            </c:extLst>
          </c:dPt>
          <c:cat>
            <c:strRef>
              <c:f>Pivot_Reports!$A$2:$A$5</c:f>
              <c:strCache>
                <c:ptCount val="3"/>
                <c:pt idx="0">
                  <c:v>Failed</c:v>
                </c:pt>
                <c:pt idx="1">
                  <c:v>Paid</c:v>
                </c:pt>
                <c:pt idx="2">
                  <c:v>Pending</c:v>
                </c:pt>
              </c:strCache>
            </c:strRef>
          </c:cat>
          <c:val>
            <c:numRef>
              <c:f>Pivot_Reports!$B$2:$B$5</c:f>
              <c:numCache>
                <c:formatCode>General</c:formatCode>
                <c:ptCount val="3"/>
                <c:pt idx="0">
                  <c:v>193212.94</c:v>
                </c:pt>
                <c:pt idx="1">
                  <c:v>173424.89999999994</c:v>
                </c:pt>
                <c:pt idx="2">
                  <c:v>184612.01000000004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3-41B0-9B8D-5E462FEB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24620467617661"/>
          <c:y val="0.44001116608590185"/>
          <c:w val="0.13018871109717717"/>
          <c:h val="0.232886818243074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[Hospital_Analytics_Dashboard.xlsx]Pivot_Reports!PivotTable6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 Status Overview</a:t>
            </a:r>
            <a:endParaRPr lang="en-US"/>
          </a:p>
        </c:rich>
      </c:tx>
      <c:layout>
        <c:manualLayout>
          <c:xMode val="edge"/>
          <c:yMode val="edge"/>
          <c:x val="0.2211608167623115"/>
          <c:y val="3.015075376884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Pivot_Reports!$A$9:$A$13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  <c:pt idx="3">
                  <c:v>Scheduled</c:v>
                </c:pt>
              </c:strCache>
            </c:strRef>
          </c:cat>
          <c:val>
            <c:numRef>
              <c:f>Pivot_Reports!$B$9:$B$13</c:f>
              <c:numCache>
                <c:formatCode>General</c:formatCode>
                <c:ptCount val="4"/>
                <c:pt idx="0">
                  <c:v>51</c:v>
                </c:pt>
                <c:pt idx="1">
                  <c:v>46</c:v>
                </c:pt>
                <c:pt idx="2">
                  <c:v>52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C-402C-8A9A-7C23127B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170159"/>
        <c:axId val="1728170639"/>
      </c:barChart>
      <c:catAx>
        <c:axId val="17281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70639"/>
        <c:crosses val="autoZero"/>
        <c:auto val="1"/>
        <c:lblAlgn val="ctr"/>
        <c:lblOffset val="100"/>
        <c:noMultiLvlLbl val="0"/>
      </c:catAx>
      <c:valAx>
        <c:axId val="17281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[Hospital_Analytics_Dashboard.xlsx]Pivot_Reports!PivotTable7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Patient Age Group Distribution</a:t>
            </a:r>
            <a:endParaRPr lang="en-US"/>
          </a:p>
        </c:rich>
      </c:tx>
      <c:layout>
        <c:manualLayout>
          <c:xMode val="edge"/>
          <c:yMode val="edge"/>
          <c:x val="0.16267490351856825"/>
          <c:y val="3.6747818684826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308500261524759"/>
          <c:y val="0.16264864864864867"/>
          <c:w val="0.49159784560143627"/>
          <c:h val="0.740054054054054"/>
        </c:manualLayout>
      </c:layout>
      <c:doughnutChart>
        <c:varyColors val="1"/>
        <c:ser>
          <c:idx val="0"/>
          <c:order val="0"/>
          <c:tx>
            <c:strRef>
              <c:f>Pivot_Reports!$B$16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7-4380-BD50-3E86F17FE7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7-4380-BD50-3E86F17FE731}"/>
              </c:ext>
            </c:extLst>
          </c:dPt>
          <c:cat>
            <c:strRef>
              <c:f>Pivot_Reports!$A$17:$A$19</c:f>
              <c:strCache>
                <c:ptCount val="2"/>
                <c:pt idx="0">
                  <c:v>Adult</c:v>
                </c:pt>
                <c:pt idx="1">
                  <c:v>Senior</c:v>
                </c:pt>
              </c:strCache>
            </c:strRef>
          </c:cat>
          <c:val>
            <c:numRef>
              <c:f>Pivot_Reports!$B$17:$B$19</c:f>
              <c:numCache>
                <c:formatCode>General</c:formatCode>
                <c:ptCount val="2"/>
                <c:pt idx="0">
                  <c:v>39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F7-4380-BD50-3E86F17F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[Hospital_Analytics_Dashboard.xlsx]Pivot_Reports!PivotTable9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Pivot_Reports!$I$1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Pivot_Reports!$H$2:$H$5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Insurance</c:v>
                </c:pt>
              </c:strCache>
            </c:strRef>
          </c:cat>
          <c:val>
            <c:numRef>
              <c:f>Pivot_Reports!$I$2:$I$5</c:f>
              <c:numCache>
                <c:formatCode>#,##0</c:formatCode>
                <c:ptCount val="3"/>
                <c:pt idx="0">
                  <c:v>167707.13999999998</c:v>
                </c:pt>
                <c:pt idx="1">
                  <c:v>201382.43000000005</c:v>
                </c:pt>
                <c:pt idx="2">
                  <c:v>182160.27999999997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3-4C58-9954-82ADBB029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7288687"/>
        <c:axId val="1857290607"/>
      </c:barChart>
      <c:catAx>
        <c:axId val="1857288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90607"/>
        <c:crosses val="autoZero"/>
        <c:auto val="1"/>
        <c:lblAlgn val="ctr"/>
        <c:lblOffset val="100"/>
        <c:noMultiLvlLbl val="0"/>
      </c:catAx>
      <c:valAx>
        <c:axId val="185729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8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[Hospital_Analytics_Dashboard.xlsx]Pivot_Reports!PivotTable10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</a:t>
            </a:r>
            <a:r>
              <a:rPr lang="en-US" b="0"/>
              <a:t>Appointment</a:t>
            </a:r>
            <a:r>
              <a:rPr lang="en-US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Pivot_Reports!$I$8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Pivot_Reports!$H$9:$H$21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Pivot_Reports!$I$9:$I$21</c:f>
              <c:numCache>
                <c:formatCode>General</c:formatCode>
                <c:ptCount val="12"/>
                <c:pt idx="0">
                  <c:v>20</c:v>
                </c:pt>
                <c:pt idx="1">
                  <c:v>14</c:v>
                </c:pt>
                <c:pt idx="2">
                  <c:v>19</c:v>
                </c:pt>
                <c:pt idx="3">
                  <c:v>25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E-48C1-8861-44DDDB04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098543"/>
        <c:axId val="1857291087"/>
      </c:lineChart>
      <c:catAx>
        <c:axId val="172609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91087"/>
        <c:crosses val="autoZero"/>
        <c:auto val="1"/>
        <c:lblAlgn val="ctr"/>
        <c:lblOffset val="100"/>
        <c:noMultiLvlLbl val="0"/>
      </c:catAx>
      <c:valAx>
        <c:axId val="18572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9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[Hospital_Analytics_Dashboard.xlsx]Pivot_Reports!PivotTable11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Doctor-wise Appointment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Pivot_Reports!$M$1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Pivot_Reports!$L$2:$L$12</c:f>
              <c:strCache>
                <c:ptCount val="10"/>
                <c:pt idx="0">
                  <c:v>Sarah Taylor</c:v>
                </c:pt>
                <c:pt idx="1">
                  <c:v>David Taylor</c:v>
                </c:pt>
                <c:pt idx="2">
                  <c:v>Alex Davis</c:v>
                </c:pt>
                <c:pt idx="3">
                  <c:v>Jane Smith</c:v>
                </c:pt>
                <c:pt idx="4">
                  <c:v>Jane Davis</c:v>
                </c:pt>
                <c:pt idx="5">
                  <c:v>Linda Wilson</c:v>
                </c:pt>
                <c:pt idx="6">
                  <c:v>Sarah Smith</c:v>
                </c:pt>
                <c:pt idx="7">
                  <c:v>Linda Brown</c:v>
                </c:pt>
                <c:pt idx="8">
                  <c:v>David Jones</c:v>
                </c:pt>
                <c:pt idx="9">
                  <c:v>Robert Davis</c:v>
                </c:pt>
              </c:strCache>
            </c:strRef>
          </c:cat>
          <c:val>
            <c:numRef>
              <c:f>Pivot_Reports!$M$2:$M$12</c:f>
              <c:numCache>
                <c:formatCode>General</c:formatCode>
                <c:ptCount val="10"/>
                <c:pt idx="0">
                  <c:v>29</c:v>
                </c:pt>
                <c:pt idx="1">
                  <c:v>25</c:v>
                </c:pt>
                <c:pt idx="2">
                  <c:v>24</c:v>
                </c:pt>
                <c:pt idx="3">
                  <c:v>22</c:v>
                </c:pt>
                <c:pt idx="4">
                  <c:v>21</c:v>
                </c:pt>
                <c:pt idx="5">
                  <c:v>19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C-4685-9A0D-94E12972B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363087"/>
        <c:axId val="1729361647"/>
      </c:barChart>
      <c:catAx>
        <c:axId val="172936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61647"/>
        <c:crosses val="autoZero"/>
        <c:auto val="1"/>
        <c:lblAlgn val="ctr"/>
        <c:lblOffset val="100"/>
        <c:noMultiLvlLbl val="0"/>
      </c:catAx>
      <c:valAx>
        <c:axId val="172936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4</xdr:row>
      <xdr:rowOff>139700</xdr:rowOff>
    </xdr:from>
    <xdr:to>
      <xdr:col>6</xdr:col>
      <xdr:colOff>88900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A395B-3857-4EEF-85CB-5D12EAC6B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158750</xdr:colOff>
      <xdr:row>4</xdr:row>
      <xdr:rowOff>146050</xdr:rowOff>
    </xdr:from>
    <xdr:to>
      <xdr:col>12</xdr:col>
      <xdr:colOff>247650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77DC3F-E56F-43BC-9583-704D25E86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292100</xdr:colOff>
      <xdr:row>4</xdr:row>
      <xdr:rowOff>133350</xdr:rowOff>
    </xdr:from>
    <xdr:to>
      <xdr:col>18</xdr:col>
      <xdr:colOff>171450</xdr:colOff>
      <xdr:row>16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986CF3-6334-476C-B383-85D9590DE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425450</xdr:colOff>
      <xdr:row>33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EE4984-B14B-43A1-982A-EE71A72E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304800</xdr:colOff>
      <xdr:row>33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4EB201-831F-402F-8ECA-003210860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6</xdr:col>
      <xdr:colOff>425450</xdr:colOff>
      <xdr:row>50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BFF6F6-7F67-431C-9190-A95EAAC9A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 Maqsood" refreshedDate="46161.38129675926" createdVersion="8" refreshedVersion="8" minRefreshableVersion="3" recordCount="200" xr:uid="{FA5F22CE-218B-42E8-9350-973E46530389}">
  <cacheSource type="worksheet">
    <worksheetSource name="tblBilling"/>
  </cacheSource>
  <cacheFields count="8">
    <cacheField name="bill_id" numFmtId="0">
      <sharedItems/>
    </cacheField>
    <cacheField name="patient_id" numFmtId="0">
      <sharedItems/>
    </cacheField>
    <cacheField name="treatment_id" numFmtId="0">
      <sharedItems/>
    </cacheField>
    <cacheField name="bill_date" numFmtId="14">
      <sharedItems containsSemiMixedTypes="0" containsNonDate="0" containsDate="1" containsString="0" minDate="2023-01-01T00:00:00" maxDate="2023-12-31T00:00:00"/>
    </cacheField>
    <cacheField name="amount" numFmtId="0">
      <sharedItems containsSemiMixedTypes="0" containsString="0" containsNumber="1" minValue="534.03" maxValue="4973.63"/>
    </cacheField>
    <cacheField name="payment_method" numFmtId="0">
      <sharedItems count="3">
        <s v="Insurance"/>
        <s v="Credit Card"/>
        <s v="Cash"/>
      </sharedItems>
    </cacheField>
    <cacheField name="payment_status" numFmtId="0">
      <sharedItems count="3">
        <s v="Pending"/>
        <s v="Paid"/>
        <s v="Failed"/>
      </sharedItems>
    </cacheField>
    <cacheField name="Revenue_category" numFmtId="0">
      <sharedItems/>
    </cacheField>
  </cacheFields>
  <extLst>
    <ext xmlns:x14="http://schemas.microsoft.com/office/spreadsheetml/2009/9/main" uri="{725AE2AE-9491-48be-B2B4-4EB974FC3084}">
      <x14:pivotCacheDefinition pivotCacheId="195096305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 Maqsood" refreshedDate="46161.47884236111" createdVersion="8" refreshedVersion="8" minRefreshableVersion="3" recordCount="200" xr:uid="{1A14E774-CC25-42E9-A2D9-BA8C1586B8DC}">
  <cacheSource type="worksheet">
    <worksheetSource name="tblAppointments"/>
  </cacheSource>
  <cacheFields count="11">
    <cacheField name="appointment_id" numFmtId="0">
      <sharedItems count="20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  <s v="A039"/>
        <s v="A040"/>
        <s v="A041"/>
        <s v="A042"/>
        <s v="A043"/>
        <s v="A044"/>
        <s v="A045"/>
        <s v="A046"/>
        <s v="A047"/>
        <s v="A048"/>
        <s v="A049"/>
        <s v="A050"/>
        <s v="A051"/>
        <s v="A052"/>
        <s v="A053"/>
        <s v="A054"/>
        <s v="A055"/>
        <s v="A056"/>
        <s v="A057"/>
        <s v="A058"/>
        <s v="A059"/>
        <s v="A060"/>
        <s v="A061"/>
        <s v="A062"/>
        <s v="A063"/>
        <s v="A064"/>
        <s v="A065"/>
        <s v="A066"/>
        <s v="A067"/>
        <s v="A068"/>
        <s v="A069"/>
        <s v="A070"/>
        <s v="A071"/>
        <s v="A072"/>
        <s v="A073"/>
        <s v="A074"/>
        <s v="A075"/>
        <s v="A076"/>
        <s v="A077"/>
        <s v="A078"/>
        <s v="A079"/>
        <s v="A080"/>
        <s v="A081"/>
        <s v="A082"/>
        <s v="A083"/>
        <s v="A084"/>
        <s v="A085"/>
        <s v="A086"/>
        <s v="A087"/>
        <s v="A088"/>
        <s v="A089"/>
        <s v="A090"/>
        <s v="A091"/>
        <s v="A092"/>
        <s v="A093"/>
        <s v="A094"/>
        <s v="A095"/>
        <s v="A096"/>
        <s v="A097"/>
        <s v="A098"/>
        <s v="A0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</sharedItems>
    </cacheField>
    <cacheField name="patient_id" numFmtId="0">
      <sharedItems/>
    </cacheField>
    <cacheField name="doctor_id" numFmtId="0">
      <sharedItems/>
    </cacheField>
    <cacheField name="appointment_date" numFmtId="14">
      <sharedItems containsSemiMixedTypes="0" containsNonDate="0" containsDate="1" containsString="0" minDate="2023-01-01T00:00:00" maxDate="2023-12-31T00:00:00"/>
    </cacheField>
    <cacheField name="appointment_time" numFmtId="21">
      <sharedItems containsSemiMixedTypes="0" containsNonDate="0" containsDate="1" containsString="0" minDate="1899-12-30T08:00:00" maxDate="1899-12-30T17:45:00"/>
    </cacheField>
    <cacheField name="reason_for_visit" numFmtId="0">
      <sharedItems/>
    </cacheField>
    <cacheField name="status" numFmtId="0">
      <sharedItems count="4">
        <s v="Scheduled"/>
        <s v="No-show"/>
        <s v="Cancelled"/>
        <s v="Completed"/>
      </sharedItems>
    </cacheField>
    <cacheField name="Appointment_month" numFmtId="0">
      <sharedItems count="12">
        <s v="August"/>
        <s v="June"/>
        <s v="September"/>
        <s v="July"/>
        <s v="April"/>
        <s v="May"/>
        <s v="March"/>
        <s v="January"/>
        <s v="November"/>
        <s v="February"/>
        <s v="December"/>
        <s v="October"/>
      </sharedItems>
    </cacheField>
    <cacheField name="Appointment_year" numFmtId="0">
      <sharedItems containsSemiMixedTypes="0" containsString="0" containsNumber="1" containsInteger="1" minValue="2023" maxValue="2023"/>
    </cacheField>
    <cacheField name="Patient_Name" numFmtId="0">
      <sharedItems/>
    </cacheField>
    <cacheField name="Doctor_Name" numFmtId="0">
      <sharedItems count="10">
        <s v="Sarah Smith"/>
        <s v="David Jones"/>
        <s v="Alex Davis"/>
        <s v="Jane Smith"/>
        <s v="Robert Davis"/>
        <s v="Linda Wilson"/>
        <s v="Jane Davis"/>
        <s v="Linda Brown"/>
        <s v="David Taylor"/>
        <s v="Sarah Tayl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 Maqsood" refreshedDate="46161.485403356484" createdVersion="8" refreshedVersion="8" minRefreshableVersion="3" recordCount="50" xr:uid="{7ED0C673-536E-44EB-ABDD-1D5531CD4FF4}">
  <cacheSource type="worksheet">
    <worksheetSource name="tblPatients"/>
  </cacheSource>
  <cacheFields count="14">
    <cacheField name="patient_id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date_of_birth" numFmtId="14">
      <sharedItems containsSemiMixedTypes="0" containsNonDate="0" containsDate="1" containsString="0" minDate="1950-01-26T00:00:00" maxDate="2005-05-16T00:00:00"/>
    </cacheField>
    <cacheField name="contact_number" numFmtId="49">
      <sharedItems containsSemiMixedTypes="0" containsString="0" containsNumber="1" containsInteger="1" minValue="6141951830" maxValue="9900972256"/>
    </cacheField>
    <cacheField name="address" numFmtId="0">
      <sharedItems/>
    </cacheField>
    <cacheField name="registration_date" numFmtId="14">
      <sharedItems containsSemiMixedTypes="0" containsNonDate="0" containsDate="1" containsString="0" minDate="2021-01-23T00:00:00" maxDate="2023-12-13T00:00:00"/>
    </cacheField>
    <cacheField name="insurance_provider" numFmtId="0">
      <sharedItems/>
    </cacheField>
    <cacheField name="insurance_number" numFmtId="0">
      <sharedItems/>
    </cacheField>
    <cacheField name="email" numFmtId="0">
      <sharedItems/>
    </cacheField>
    <cacheField name="Full_name" numFmtId="0">
      <sharedItems/>
    </cacheField>
    <cacheField name="Age" numFmtId="0">
      <sharedItems containsSemiMixedTypes="0" containsString="0" containsNumber="1" containsInteger="1" minValue="21" maxValue="76"/>
    </cacheField>
    <cacheField name="Age_Group" numFmtId="0">
      <sharedItems count="2">
        <s v="Senior"/>
        <s v="Ad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P034"/>
    <s v="T001"/>
    <d v="2023-08-09T00:00:00"/>
    <n v="3941.97"/>
    <x v="0"/>
    <x v="0"/>
    <s v="High Revenue"/>
  </r>
  <r>
    <s v="B002"/>
    <s v="P032"/>
    <s v="T002"/>
    <d v="2023-06-09T00:00:00"/>
    <n v="4158.4399999999996"/>
    <x v="0"/>
    <x v="1"/>
    <s v="High Revenue"/>
  </r>
  <r>
    <s v="B003"/>
    <s v="P048"/>
    <s v="T003"/>
    <d v="2023-06-28T00:00:00"/>
    <n v="3731.55"/>
    <x v="0"/>
    <x v="1"/>
    <s v="High Revenue"/>
  </r>
  <r>
    <s v="B004"/>
    <s v="P025"/>
    <s v="T004"/>
    <d v="2023-09-01T00:00:00"/>
    <n v="4799.8599999999997"/>
    <x v="0"/>
    <x v="2"/>
    <s v="High Revenue"/>
  </r>
  <r>
    <s v="B005"/>
    <s v="P040"/>
    <s v="T005"/>
    <d v="2023-07-06T00:00:00"/>
    <n v="582.04999999999995"/>
    <x v="1"/>
    <x v="0"/>
    <s v="Normal"/>
  </r>
  <r>
    <s v="B006"/>
    <s v="P045"/>
    <s v="T006"/>
    <d v="2023-06-19T00:00:00"/>
    <n v="1381"/>
    <x v="0"/>
    <x v="0"/>
    <s v="Normal"/>
  </r>
  <r>
    <s v="B007"/>
    <s v="P001"/>
    <s v="T007"/>
    <d v="2023-04-09T00:00:00"/>
    <n v="534.03"/>
    <x v="2"/>
    <x v="2"/>
    <s v="Normal"/>
  </r>
  <r>
    <s v="B008"/>
    <s v="P016"/>
    <s v="T008"/>
    <d v="2023-05-24T00:00:00"/>
    <n v="3413.64"/>
    <x v="2"/>
    <x v="2"/>
    <s v="High Revenue"/>
  </r>
  <r>
    <s v="B009"/>
    <s v="P039"/>
    <s v="T009"/>
    <d v="2023-03-05T00:00:00"/>
    <n v="4541.1400000000003"/>
    <x v="1"/>
    <x v="1"/>
    <s v="High Revenue"/>
  </r>
  <r>
    <s v="B010"/>
    <s v="P005"/>
    <s v="T010"/>
    <d v="2023-01-13T00:00:00"/>
    <n v="1595.67"/>
    <x v="2"/>
    <x v="1"/>
    <s v="Normal"/>
  </r>
  <r>
    <s v="B011"/>
    <s v="P022"/>
    <s v="T011"/>
    <d v="2023-11-12T00:00:00"/>
    <n v="4671.66"/>
    <x v="2"/>
    <x v="2"/>
    <s v="High Revenue"/>
  </r>
  <r>
    <s v="B012"/>
    <s v="P029"/>
    <s v="T012"/>
    <d v="2023-05-07T00:00:00"/>
    <n v="771.2"/>
    <x v="0"/>
    <x v="0"/>
    <s v="Normal"/>
  </r>
  <r>
    <s v="B013"/>
    <s v="P003"/>
    <s v="T013"/>
    <d v="2023-08-16T00:00:00"/>
    <n v="4704.96"/>
    <x v="2"/>
    <x v="1"/>
    <s v="High Revenue"/>
  </r>
  <r>
    <s v="B014"/>
    <s v="P012"/>
    <s v="T014"/>
    <d v="2023-05-25T00:00:00"/>
    <n v="2082.3000000000002"/>
    <x v="1"/>
    <x v="1"/>
    <s v="Normal"/>
  </r>
  <r>
    <s v="B015"/>
    <s v="P026"/>
    <s v="T015"/>
    <d v="2023-01-15T00:00:00"/>
    <n v="956.39"/>
    <x v="0"/>
    <x v="0"/>
    <s v="Normal"/>
  </r>
  <r>
    <s v="B016"/>
    <s v="P016"/>
    <s v="T016"/>
    <d v="2023-06-30T00:00:00"/>
    <n v="2686.42"/>
    <x v="0"/>
    <x v="1"/>
    <s v="Normal"/>
  </r>
  <r>
    <s v="B017"/>
    <s v="P037"/>
    <s v="T017"/>
    <d v="2023-07-11T00:00:00"/>
    <n v="1655.49"/>
    <x v="1"/>
    <x v="0"/>
    <s v="Normal"/>
  </r>
  <r>
    <s v="B018"/>
    <s v="P022"/>
    <s v="T018"/>
    <d v="2023-11-14T00:00:00"/>
    <n v="1781.93"/>
    <x v="0"/>
    <x v="0"/>
    <s v="Normal"/>
  </r>
  <r>
    <s v="B019"/>
    <s v="P029"/>
    <s v="T019"/>
    <d v="2023-02-06T00:00:00"/>
    <n v="1882.8"/>
    <x v="0"/>
    <x v="0"/>
    <s v="Normal"/>
  </r>
  <r>
    <s v="B020"/>
    <s v="P014"/>
    <s v="T020"/>
    <d v="2023-12-05T00:00:00"/>
    <n v="4113.62"/>
    <x v="1"/>
    <x v="2"/>
    <s v="High Revenue"/>
  </r>
  <r>
    <s v="B021"/>
    <s v="P028"/>
    <s v="T021"/>
    <d v="2023-04-24T00:00:00"/>
    <n v="2926.23"/>
    <x v="0"/>
    <x v="2"/>
    <s v="Normal"/>
  </r>
  <r>
    <s v="B022"/>
    <s v="P005"/>
    <s v="T022"/>
    <d v="2023-11-14T00:00:00"/>
    <n v="1900.88"/>
    <x v="1"/>
    <x v="2"/>
    <s v="Normal"/>
  </r>
  <r>
    <s v="B023"/>
    <s v="P047"/>
    <s v="T023"/>
    <d v="2023-05-09T00:00:00"/>
    <n v="3246.5"/>
    <x v="1"/>
    <x v="0"/>
    <s v="High Revenue"/>
  </r>
  <r>
    <s v="B024"/>
    <s v="P049"/>
    <s v="T024"/>
    <d v="2023-06-21T00:00:00"/>
    <n v="3722.68"/>
    <x v="2"/>
    <x v="0"/>
    <s v="High Revenue"/>
  </r>
  <r>
    <s v="B025"/>
    <s v="P030"/>
    <s v="T025"/>
    <d v="2023-02-25T00:00:00"/>
    <n v="1726.81"/>
    <x v="2"/>
    <x v="2"/>
    <s v="Normal"/>
  </r>
  <r>
    <s v="B026"/>
    <s v="P046"/>
    <s v="T026"/>
    <d v="2023-03-17T00:00:00"/>
    <n v="2360.9699999999998"/>
    <x v="0"/>
    <x v="1"/>
    <s v="Normal"/>
  </r>
  <r>
    <s v="B027"/>
    <s v="P005"/>
    <s v="T027"/>
    <d v="2023-11-14T00:00:00"/>
    <n v="1048.49"/>
    <x v="0"/>
    <x v="0"/>
    <s v="Normal"/>
  </r>
  <r>
    <s v="B028"/>
    <s v="P012"/>
    <s v="T028"/>
    <d v="2023-10-29T00:00:00"/>
    <n v="1315.17"/>
    <x v="1"/>
    <x v="1"/>
    <s v="Normal"/>
  </r>
  <r>
    <s v="B029"/>
    <s v="P016"/>
    <s v="T029"/>
    <d v="2023-06-25T00:00:00"/>
    <n v="3565.03"/>
    <x v="0"/>
    <x v="1"/>
    <s v="High Revenue"/>
  </r>
  <r>
    <s v="B030"/>
    <s v="P026"/>
    <s v="T030"/>
    <d v="2023-08-29T00:00:00"/>
    <n v="1316.47"/>
    <x v="1"/>
    <x v="0"/>
    <s v="Normal"/>
  </r>
  <r>
    <s v="B031"/>
    <s v="P026"/>
    <s v="T031"/>
    <d v="2023-04-04T00:00:00"/>
    <n v="2863.24"/>
    <x v="1"/>
    <x v="0"/>
    <s v="Normal"/>
  </r>
  <r>
    <s v="B032"/>
    <s v="P048"/>
    <s v="T032"/>
    <d v="2023-11-06T00:00:00"/>
    <n v="3690.71"/>
    <x v="0"/>
    <x v="1"/>
    <s v="High Revenue"/>
  </r>
  <r>
    <s v="B033"/>
    <s v="P021"/>
    <s v="T033"/>
    <d v="2023-09-23T00:00:00"/>
    <n v="980.95"/>
    <x v="1"/>
    <x v="1"/>
    <s v="Normal"/>
  </r>
  <r>
    <s v="B034"/>
    <s v="P039"/>
    <s v="T034"/>
    <d v="2023-06-13T00:00:00"/>
    <n v="3052.9"/>
    <x v="2"/>
    <x v="2"/>
    <s v="High Revenue"/>
  </r>
  <r>
    <s v="B035"/>
    <s v="P036"/>
    <s v="T035"/>
    <d v="2023-04-18T00:00:00"/>
    <n v="1654.53"/>
    <x v="0"/>
    <x v="2"/>
    <s v="Normal"/>
  </r>
  <r>
    <s v="B036"/>
    <s v="P033"/>
    <s v="T036"/>
    <d v="2023-01-08T00:00:00"/>
    <n v="4833.17"/>
    <x v="2"/>
    <x v="0"/>
    <s v="High Revenue"/>
  </r>
  <r>
    <s v="B037"/>
    <s v="P030"/>
    <s v="T037"/>
    <d v="2023-03-28T00:00:00"/>
    <n v="2675.96"/>
    <x v="0"/>
    <x v="2"/>
    <s v="Normal"/>
  </r>
  <r>
    <s v="B038"/>
    <s v="P037"/>
    <s v="T038"/>
    <d v="2023-02-23T00:00:00"/>
    <n v="4126.97"/>
    <x v="1"/>
    <x v="2"/>
    <s v="High Revenue"/>
  </r>
  <r>
    <s v="B039"/>
    <s v="P023"/>
    <s v="T039"/>
    <d v="2023-04-17T00:00:00"/>
    <n v="2976.02"/>
    <x v="0"/>
    <x v="2"/>
    <s v="Normal"/>
  </r>
  <r>
    <s v="B040"/>
    <s v="P010"/>
    <s v="T040"/>
    <d v="2023-03-27T00:00:00"/>
    <n v="695.36"/>
    <x v="2"/>
    <x v="2"/>
    <s v="Normal"/>
  </r>
  <r>
    <s v="B041"/>
    <s v="P005"/>
    <s v="T041"/>
    <d v="2023-01-01T00:00:00"/>
    <n v="3349.18"/>
    <x v="1"/>
    <x v="1"/>
    <s v="High Revenue"/>
  </r>
  <r>
    <s v="B042"/>
    <s v="P036"/>
    <s v="T042"/>
    <d v="2023-03-21T00:00:00"/>
    <n v="4781.32"/>
    <x v="0"/>
    <x v="0"/>
    <s v="High Revenue"/>
  </r>
  <r>
    <s v="B043"/>
    <s v="P034"/>
    <s v="T043"/>
    <d v="2023-03-29T00:00:00"/>
    <n v="3207.25"/>
    <x v="0"/>
    <x v="2"/>
    <s v="High Revenue"/>
  </r>
  <r>
    <s v="B044"/>
    <s v="P031"/>
    <s v="T044"/>
    <d v="2023-09-20T00:00:00"/>
    <n v="4186.3500000000004"/>
    <x v="0"/>
    <x v="1"/>
    <s v="High Revenue"/>
  </r>
  <r>
    <s v="B045"/>
    <s v="P010"/>
    <s v="T045"/>
    <d v="2023-09-28T00:00:00"/>
    <n v="4478.93"/>
    <x v="2"/>
    <x v="1"/>
    <s v="High Revenue"/>
  </r>
  <r>
    <s v="B046"/>
    <s v="P019"/>
    <s v="T046"/>
    <d v="2023-12-20T00:00:00"/>
    <n v="1526.36"/>
    <x v="2"/>
    <x v="1"/>
    <s v="Normal"/>
  </r>
  <r>
    <s v="B047"/>
    <s v="P032"/>
    <s v="T047"/>
    <d v="2023-05-02T00:00:00"/>
    <n v="1454.2"/>
    <x v="0"/>
    <x v="2"/>
    <s v="Normal"/>
  </r>
  <r>
    <s v="B048"/>
    <s v="P001"/>
    <s v="T048"/>
    <d v="2023-01-16T00:00:00"/>
    <n v="3249.41"/>
    <x v="1"/>
    <x v="2"/>
    <s v="High Revenue"/>
  </r>
  <r>
    <s v="B049"/>
    <s v="P005"/>
    <s v="T049"/>
    <d v="2023-04-30T00:00:00"/>
    <n v="2349.63"/>
    <x v="1"/>
    <x v="0"/>
    <s v="Normal"/>
  </r>
  <r>
    <s v="B050"/>
    <s v="P045"/>
    <s v="T050"/>
    <d v="2023-08-16T00:00:00"/>
    <n v="4279.38"/>
    <x v="2"/>
    <x v="2"/>
    <s v="High Revenue"/>
  </r>
  <r>
    <s v="B051"/>
    <s v="P004"/>
    <s v="T051"/>
    <d v="2023-02-04T00:00:00"/>
    <n v="4550.1000000000004"/>
    <x v="1"/>
    <x v="2"/>
    <s v="High Revenue"/>
  </r>
  <r>
    <s v="B052"/>
    <s v="P016"/>
    <s v="T052"/>
    <d v="2023-07-12T00:00:00"/>
    <n v="2090.4"/>
    <x v="2"/>
    <x v="1"/>
    <s v="Normal"/>
  </r>
  <r>
    <s v="B053"/>
    <s v="P024"/>
    <s v="T053"/>
    <d v="2023-02-12T00:00:00"/>
    <n v="1565.92"/>
    <x v="0"/>
    <x v="0"/>
    <s v="Normal"/>
  </r>
  <r>
    <s v="B054"/>
    <s v="P016"/>
    <s v="T054"/>
    <d v="2023-12-16T00:00:00"/>
    <n v="4012.36"/>
    <x v="2"/>
    <x v="2"/>
    <s v="High Revenue"/>
  </r>
  <r>
    <s v="B055"/>
    <s v="P002"/>
    <s v="T055"/>
    <d v="2023-10-06T00:00:00"/>
    <n v="1736.63"/>
    <x v="2"/>
    <x v="2"/>
    <s v="Normal"/>
  </r>
  <r>
    <s v="B056"/>
    <s v="P049"/>
    <s v="T056"/>
    <d v="2023-01-02T00:00:00"/>
    <n v="4201.76"/>
    <x v="0"/>
    <x v="1"/>
    <s v="High Revenue"/>
  </r>
  <r>
    <s v="B057"/>
    <s v="P028"/>
    <s v="T057"/>
    <d v="2023-04-15T00:00:00"/>
    <n v="2406.8200000000002"/>
    <x v="1"/>
    <x v="1"/>
    <s v="Normal"/>
  </r>
  <r>
    <s v="B058"/>
    <s v="P032"/>
    <s v="T058"/>
    <d v="2023-05-09T00:00:00"/>
    <n v="3503.97"/>
    <x v="2"/>
    <x v="2"/>
    <s v="High Revenue"/>
  </r>
  <r>
    <s v="B059"/>
    <s v="P027"/>
    <s v="T059"/>
    <d v="2023-03-09T00:00:00"/>
    <n v="929.91"/>
    <x v="2"/>
    <x v="0"/>
    <s v="Normal"/>
  </r>
  <r>
    <s v="B060"/>
    <s v="P020"/>
    <s v="T060"/>
    <d v="2023-11-22T00:00:00"/>
    <n v="3307.37"/>
    <x v="0"/>
    <x v="0"/>
    <s v="High Revenue"/>
  </r>
  <r>
    <s v="B061"/>
    <s v="P024"/>
    <s v="T061"/>
    <d v="2023-01-15T00:00:00"/>
    <n v="2532.9499999999998"/>
    <x v="1"/>
    <x v="1"/>
    <s v="Normal"/>
  </r>
  <r>
    <s v="B062"/>
    <s v="P012"/>
    <s v="T062"/>
    <d v="2023-06-14T00:00:00"/>
    <n v="3139.74"/>
    <x v="2"/>
    <x v="1"/>
    <s v="High Revenue"/>
  </r>
  <r>
    <s v="B063"/>
    <s v="P050"/>
    <s v="T063"/>
    <d v="2023-06-29T00:00:00"/>
    <n v="1256.06"/>
    <x v="0"/>
    <x v="2"/>
    <s v="Normal"/>
  </r>
  <r>
    <s v="B064"/>
    <s v="P035"/>
    <s v="T064"/>
    <d v="2023-05-31T00:00:00"/>
    <n v="3815.93"/>
    <x v="2"/>
    <x v="1"/>
    <s v="High Revenue"/>
  </r>
  <r>
    <s v="B065"/>
    <s v="P033"/>
    <s v="T065"/>
    <d v="2023-04-24T00:00:00"/>
    <n v="4382.59"/>
    <x v="0"/>
    <x v="2"/>
    <s v="High Revenue"/>
  </r>
  <r>
    <s v="B066"/>
    <s v="P033"/>
    <s v="T066"/>
    <d v="2023-05-10T00:00:00"/>
    <n v="1475.33"/>
    <x v="1"/>
    <x v="0"/>
    <s v="Normal"/>
  </r>
  <r>
    <s v="B067"/>
    <s v="P043"/>
    <s v="T067"/>
    <d v="2023-08-10T00:00:00"/>
    <n v="930.72"/>
    <x v="1"/>
    <x v="0"/>
    <s v="Normal"/>
  </r>
  <r>
    <s v="B068"/>
    <s v="P037"/>
    <s v="T068"/>
    <d v="2023-03-14T00:00:00"/>
    <n v="606.37"/>
    <x v="1"/>
    <x v="2"/>
    <s v="Normal"/>
  </r>
  <r>
    <s v="B069"/>
    <s v="P012"/>
    <s v="T069"/>
    <d v="2023-03-29T00:00:00"/>
    <n v="3388.87"/>
    <x v="1"/>
    <x v="1"/>
    <s v="High Revenue"/>
  </r>
  <r>
    <s v="B070"/>
    <s v="P003"/>
    <s v="T070"/>
    <d v="2023-08-26T00:00:00"/>
    <n v="3231.92"/>
    <x v="2"/>
    <x v="0"/>
    <s v="High Revenue"/>
  </r>
  <r>
    <s v="B071"/>
    <s v="P001"/>
    <s v="T071"/>
    <d v="2023-01-26T00:00:00"/>
    <n v="2960.14"/>
    <x v="2"/>
    <x v="1"/>
    <s v="Normal"/>
  </r>
  <r>
    <s v="B072"/>
    <s v="P033"/>
    <s v="T072"/>
    <d v="2023-06-12T00:00:00"/>
    <n v="1543.76"/>
    <x v="1"/>
    <x v="0"/>
    <s v="Normal"/>
  </r>
  <r>
    <s v="B073"/>
    <s v="P040"/>
    <s v="T073"/>
    <d v="2023-12-24T00:00:00"/>
    <n v="2259.08"/>
    <x v="1"/>
    <x v="2"/>
    <s v="Normal"/>
  </r>
  <r>
    <s v="B074"/>
    <s v="P010"/>
    <s v="T074"/>
    <d v="2023-07-23T00:00:00"/>
    <n v="3175.14"/>
    <x v="1"/>
    <x v="2"/>
    <s v="High Revenue"/>
  </r>
  <r>
    <s v="B075"/>
    <s v="P043"/>
    <s v="T075"/>
    <d v="2023-05-08T00:00:00"/>
    <n v="2735.45"/>
    <x v="2"/>
    <x v="2"/>
    <s v="Normal"/>
  </r>
  <r>
    <s v="B076"/>
    <s v="P044"/>
    <s v="T076"/>
    <d v="2023-11-27T00:00:00"/>
    <n v="4945.03"/>
    <x v="1"/>
    <x v="0"/>
    <s v="High Revenue"/>
  </r>
  <r>
    <s v="B077"/>
    <s v="P029"/>
    <s v="T077"/>
    <d v="2023-12-14T00:00:00"/>
    <n v="1113.98"/>
    <x v="1"/>
    <x v="1"/>
    <s v="Normal"/>
  </r>
  <r>
    <s v="B078"/>
    <s v="P013"/>
    <s v="T078"/>
    <d v="2023-09-17T00:00:00"/>
    <n v="3628.15"/>
    <x v="1"/>
    <x v="1"/>
    <s v="High Revenue"/>
  </r>
  <r>
    <s v="B079"/>
    <s v="P012"/>
    <s v="T079"/>
    <d v="2023-12-26T00:00:00"/>
    <n v="2319.4299999999998"/>
    <x v="0"/>
    <x v="1"/>
    <s v="Normal"/>
  </r>
  <r>
    <s v="B080"/>
    <s v="P031"/>
    <s v="T080"/>
    <d v="2023-06-26T00:00:00"/>
    <n v="2426.9"/>
    <x v="1"/>
    <x v="0"/>
    <s v="Normal"/>
  </r>
  <r>
    <s v="B081"/>
    <s v="P046"/>
    <s v="T081"/>
    <d v="2023-01-06T00:00:00"/>
    <n v="3729.19"/>
    <x v="0"/>
    <x v="0"/>
    <s v="High Revenue"/>
  </r>
  <r>
    <s v="B082"/>
    <s v="P002"/>
    <s v="T082"/>
    <d v="2023-01-20T00:00:00"/>
    <n v="3615.96"/>
    <x v="0"/>
    <x v="0"/>
    <s v="High Revenue"/>
  </r>
  <r>
    <s v="B083"/>
    <s v="P050"/>
    <s v="T083"/>
    <d v="2023-11-07T00:00:00"/>
    <n v="4960.6499999999996"/>
    <x v="1"/>
    <x v="0"/>
    <s v="High Revenue"/>
  </r>
  <r>
    <s v="B084"/>
    <s v="P035"/>
    <s v="T084"/>
    <d v="2023-05-31T00:00:00"/>
    <n v="1077.77"/>
    <x v="0"/>
    <x v="0"/>
    <s v="Normal"/>
  </r>
  <r>
    <s v="B085"/>
    <s v="P023"/>
    <s v="T085"/>
    <d v="2023-02-18T00:00:00"/>
    <n v="968.49"/>
    <x v="1"/>
    <x v="1"/>
    <s v="Normal"/>
  </r>
  <r>
    <s v="B086"/>
    <s v="P017"/>
    <s v="T086"/>
    <d v="2023-10-29T00:00:00"/>
    <n v="3759.52"/>
    <x v="2"/>
    <x v="0"/>
    <s v="High Revenue"/>
  </r>
  <r>
    <s v="B087"/>
    <s v="P026"/>
    <s v="T087"/>
    <d v="2023-10-19T00:00:00"/>
    <n v="3102.74"/>
    <x v="2"/>
    <x v="0"/>
    <s v="High Revenue"/>
  </r>
  <r>
    <s v="B088"/>
    <s v="P008"/>
    <s v="T088"/>
    <d v="2023-05-02T00:00:00"/>
    <n v="1733.72"/>
    <x v="2"/>
    <x v="1"/>
    <s v="Normal"/>
  </r>
  <r>
    <s v="B089"/>
    <s v="P029"/>
    <s v="T089"/>
    <d v="2023-02-14T00:00:00"/>
    <n v="857.39"/>
    <x v="2"/>
    <x v="0"/>
    <s v="Normal"/>
  </r>
  <r>
    <s v="B090"/>
    <s v="P026"/>
    <s v="T090"/>
    <d v="2023-06-01T00:00:00"/>
    <n v="885.46"/>
    <x v="0"/>
    <x v="1"/>
    <s v="Normal"/>
  </r>
  <r>
    <s v="B091"/>
    <s v="P010"/>
    <s v="T091"/>
    <d v="2023-06-11T00:00:00"/>
    <n v="4523.8599999999997"/>
    <x v="1"/>
    <x v="1"/>
    <s v="High Revenue"/>
  </r>
  <r>
    <s v="B092"/>
    <s v="P026"/>
    <s v="T092"/>
    <d v="2023-01-30T00:00:00"/>
    <n v="1363.4"/>
    <x v="1"/>
    <x v="2"/>
    <s v="Normal"/>
  </r>
  <r>
    <s v="B093"/>
    <s v="P034"/>
    <s v="T093"/>
    <d v="2023-04-09T00:00:00"/>
    <n v="1955.17"/>
    <x v="1"/>
    <x v="2"/>
    <s v="Normal"/>
  </r>
  <r>
    <s v="B094"/>
    <s v="P041"/>
    <s v="T094"/>
    <d v="2023-04-08T00:00:00"/>
    <n v="1519.95"/>
    <x v="2"/>
    <x v="2"/>
    <s v="Normal"/>
  </r>
  <r>
    <s v="B095"/>
    <s v="P007"/>
    <s v="T095"/>
    <d v="2023-05-09T00:00:00"/>
    <n v="2097.48"/>
    <x v="2"/>
    <x v="2"/>
    <s v="Normal"/>
  </r>
  <r>
    <s v="B096"/>
    <s v="P004"/>
    <s v="T096"/>
    <d v="2023-07-07T00:00:00"/>
    <n v="812.41"/>
    <x v="1"/>
    <x v="0"/>
    <s v="Normal"/>
  </r>
  <r>
    <s v="B097"/>
    <s v="P050"/>
    <s v="T097"/>
    <d v="2023-05-06T00:00:00"/>
    <n v="2835.77"/>
    <x v="2"/>
    <x v="2"/>
    <s v="Normal"/>
  </r>
  <r>
    <s v="B098"/>
    <s v="P045"/>
    <s v="T098"/>
    <d v="2023-03-17T00:00:00"/>
    <n v="804.26"/>
    <x v="1"/>
    <x v="1"/>
    <s v="Normal"/>
  </r>
  <r>
    <s v="B099"/>
    <s v="P011"/>
    <s v="T099"/>
    <d v="2023-07-04T00:00:00"/>
    <n v="4101.6000000000004"/>
    <x v="1"/>
    <x v="0"/>
    <s v="High Revenue"/>
  </r>
  <r>
    <s v="B100"/>
    <s v="P029"/>
    <s v="T100"/>
    <d v="2023-03-02T00:00:00"/>
    <n v="1551.7"/>
    <x v="1"/>
    <x v="2"/>
    <s v="Normal"/>
  </r>
  <r>
    <s v="B101"/>
    <s v="P036"/>
    <s v="T101"/>
    <d v="2023-09-21T00:00:00"/>
    <n v="2930.05"/>
    <x v="1"/>
    <x v="1"/>
    <s v="Normal"/>
  </r>
  <r>
    <s v="B102"/>
    <s v="P025"/>
    <s v="T102"/>
    <d v="2023-10-25T00:00:00"/>
    <n v="4460.3599999999997"/>
    <x v="1"/>
    <x v="0"/>
    <s v="High Revenue"/>
  </r>
  <r>
    <s v="B103"/>
    <s v="P021"/>
    <s v="T103"/>
    <d v="2023-01-24T00:00:00"/>
    <n v="3428.95"/>
    <x v="1"/>
    <x v="0"/>
    <s v="High Revenue"/>
  </r>
  <r>
    <s v="B104"/>
    <s v="P036"/>
    <s v="T104"/>
    <d v="2023-04-18T00:00:00"/>
    <n v="2898.31"/>
    <x v="1"/>
    <x v="2"/>
    <s v="Normal"/>
  </r>
  <r>
    <s v="B105"/>
    <s v="P010"/>
    <s v="T105"/>
    <d v="2023-08-14T00:00:00"/>
    <n v="1959.5"/>
    <x v="2"/>
    <x v="0"/>
    <s v="Normal"/>
  </r>
  <r>
    <s v="B106"/>
    <s v="P037"/>
    <s v="T106"/>
    <d v="2023-10-29T00:00:00"/>
    <n v="1998.51"/>
    <x v="1"/>
    <x v="1"/>
    <s v="Normal"/>
  </r>
  <r>
    <s v="B107"/>
    <s v="P009"/>
    <s v="T107"/>
    <d v="2023-04-17T00:00:00"/>
    <n v="3512.69"/>
    <x v="1"/>
    <x v="0"/>
    <s v="High Revenue"/>
  </r>
  <r>
    <s v="B108"/>
    <s v="P024"/>
    <s v="T108"/>
    <d v="2023-04-21T00:00:00"/>
    <n v="4973.63"/>
    <x v="2"/>
    <x v="1"/>
    <s v="High Revenue"/>
  </r>
  <r>
    <s v="B109"/>
    <s v="P035"/>
    <s v="T109"/>
    <d v="2023-07-29T00:00:00"/>
    <n v="3478.28"/>
    <x v="2"/>
    <x v="0"/>
    <s v="High Revenue"/>
  </r>
  <r>
    <s v="B110"/>
    <s v="P049"/>
    <s v="T110"/>
    <d v="2023-07-19T00:00:00"/>
    <n v="3010.03"/>
    <x v="2"/>
    <x v="2"/>
    <s v="High Revenue"/>
  </r>
  <r>
    <s v="B111"/>
    <s v="P035"/>
    <s v="T111"/>
    <d v="2023-05-22T00:00:00"/>
    <n v="3787.93"/>
    <x v="1"/>
    <x v="1"/>
    <s v="High Revenue"/>
  </r>
  <r>
    <s v="B112"/>
    <s v="P048"/>
    <s v="T112"/>
    <d v="2023-01-11T00:00:00"/>
    <n v="2593.4299999999998"/>
    <x v="0"/>
    <x v="0"/>
    <s v="Normal"/>
  </r>
  <r>
    <s v="B113"/>
    <s v="P036"/>
    <s v="T113"/>
    <d v="2023-11-24T00:00:00"/>
    <n v="770.64"/>
    <x v="0"/>
    <x v="0"/>
    <s v="Normal"/>
  </r>
  <r>
    <s v="B114"/>
    <s v="P018"/>
    <s v="T114"/>
    <d v="2023-08-08T00:00:00"/>
    <n v="3030.34"/>
    <x v="2"/>
    <x v="0"/>
    <s v="High Revenue"/>
  </r>
  <r>
    <s v="B115"/>
    <s v="P049"/>
    <s v="T115"/>
    <d v="2023-10-25T00:00:00"/>
    <n v="4809.3100000000004"/>
    <x v="0"/>
    <x v="1"/>
    <s v="High Revenue"/>
  </r>
  <r>
    <s v="B116"/>
    <s v="P039"/>
    <s v="T116"/>
    <d v="2023-07-07T00:00:00"/>
    <n v="1288.8599999999999"/>
    <x v="2"/>
    <x v="1"/>
    <s v="Normal"/>
  </r>
  <r>
    <s v="B117"/>
    <s v="P032"/>
    <s v="T117"/>
    <d v="2023-06-20T00:00:00"/>
    <n v="3605.02"/>
    <x v="1"/>
    <x v="1"/>
    <s v="High Revenue"/>
  </r>
  <r>
    <s v="B118"/>
    <s v="P024"/>
    <s v="T118"/>
    <d v="2023-08-09T00:00:00"/>
    <n v="1404.2"/>
    <x v="0"/>
    <x v="2"/>
    <s v="Normal"/>
  </r>
  <r>
    <s v="B119"/>
    <s v="P023"/>
    <s v="T119"/>
    <d v="2023-12-18T00:00:00"/>
    <n v="2911.22"/>
    <x v="1"/>
    <x v="2"/>
    <s v="Normal"/>
  </r>
  <r>
    <s v="B120"/>
    <s v="P032"/>
    <s v="T120"/>
    <d v="2023-12-08T00:00:00"/>
    <n v="935.04"/>
    <x v="0"/>
    <x v="1"/>
    <s v="Normal"/>
  </r>
  <r>
    <s v="B121"/>
    <s v="P037"/>
    <s v="T121"/>
    <d v="2023-04-07T00:00:00"/>
    <n v="2526.67"/>
    <x v="1"/>
    <x v="0"/>
    <s v="Normal"/>
  </r>
  <r>
    <s v="B122"/>
    <s v="P012"/>
    <s v="T122"/>
    <d v="2023-07-11T00:00:00"/>
    <n v="3902.73"/>
    <x v="0"/>
    <x v="2"/>
    <s v="High Revenue"/>
  </r>
  <r>
    <s v="B123"/>
    <s v="P049"/>
    <s v="T123"/>
    <d v="2023-02-28T00:00:00"/>
    <n v="2064.0700000000002"/>
    <x v="1"/>
    <x v="1"/>
    <s v="Normal"/>
  </r>
  <r>
    <s v="B124"/>
    <s v="P013"/>
    <s v="T124"/>
    <d v="2023-03-16T00:00:00"/>
    <n v="3492.1"/>
    <x v="1"/>
    <x v="0"/>
    <s v="High Revenue"/>
  </r>
  <r>
    <s v="B125"/>
    <s v="P023"/>
    <s v="T125"/>
    <d v="2023-02-18T00:00:00"/>
    <n v="4079.52"/>
    <x v="0"/>
    <x v="2"/>
    <s v="High Revenue"/>
  </r>
  <r>
    <s v="B126"/>
    <s v="P025"/>
    <s v="T126"/>
    <d v="2023-11-02T00:00:00"/>
    <n v="4672.3"/>
    <x v="1"/>
    <x v="0"/>
    <s v="High Revenue"/>
  </r>
  <r>
    <s v="B127"/>
    <s v="P035"/>
    <s v="T127"/>
    <d v="2023-11-13T00:00:00"/>
    <n v="1555.89"/>
    <x v="1"/>
    <x v="0"/>
    <s v="Normal"/>
  </r>
  <r>
    <s v="B128"/>
    <s v="P041"/>
    <s v="T128"/>
    <d v="2023-04-15T00:00:00"/>
    <n v="2296.92"/>
    <x v="1"/>
    <x v="0"/>
    <s v="Normal"/>
  </r>
  <r>
    <s v="B129"/>
    <s v="P030"/>
    <s v="T129"/>
    <d v="2023-08-25T00:00:00"/>
    <n v="1185.8699999999999"/>
    <x v="0"/>
    <x v="0"/>
    <s v="Normal"/>
  </r>
  <r>
    <s v="B130"/>
    <s v="P017"/>
    <s v="T130"/>
    <d v="2023-02-23T00:00:00"/>
    <n v="4966.18"/>
    <x v="0"/>
    <x v="2"/>
    <s v="High Revenue"/>
  </r>
  <r>
    <s v="B131"/>
    <s v="P049"/>
    <s v="T131"/>
    <d v="2023-05-11T00:00:00"/>
    <n v="4671.5"/>
    <x v="1"/>
    <x v="2"/>
    <s v="High Revenue"/>
  </r>
  <r>
    <s v="B132"/>
    <s v="P020"/>
    <s v="T132"/>
    <d v="2023-07-26T00:00:00"/>
    <n v="2929.81"/>
    <x v="1"/>
    <x v="2"/>
    <s v="Normal"/>
  </r>
  <r>
    <s v="B133"/>
    <s v="P048"/>
    <s v="T133"/>
    <d v="2023-03-23T00:00:00"/>
    <n v="4289.1499999999996"/>
    <x v="0"/>
    <x v="1"/>
    <s v="High Revenue"/>
  </r>
  <r>
    <s v="B134"/>
    <s v="P025"/>
    <s v="T134"/>
    <d v="2023-10-17T00:00:00"/>
    <n v="2844.31"/>
    <x v="0"/>
    <x v="2"/>
    <s v="Normal"/>
  </r>
  <r>
    <s v="B135"/>
    <s v="P022"/>
    <s v="T135"/>
    <d v="2023-09-09T00:00:00"/>
    <n v="3306.14"/>
    <x v="1"/>
    <x v="0"/>
    <s v="High Revenue"/>
  </r>
  <r>
    <s v="B136"/>
    <s v="P013"/>
    <s v="T136"/>
    <d v="2023-05-13T00:00:00"/>
    <n v="901.06"/>
    <x v="1"/>
    <x v="2"/>
    <s v="Normal"/>
  </r>
  <r>
    <s v="B137"/>
    <s v="P019"/>
    <s v="T137"/>
    <d v="2023-10-25T00:00:00"/>
    <n v="3898.72"/>
    <x v="1"/>
    <x v="0"/>
    <s v="High Revenue"/>
  </r>
  <r>
    <s v="B138"/>
    <s v="P049"/>
    <s v="T138"/>
    <d v="2023-12-26T00:00:00"/>
    <n v="1074.71"/>
    <x v="2"/>
    <x v="1"/>
    <s v="Normal"/>
  </r>
  <r>
    <s v="B139"/>
    <s v="P036"/>
    <s v="T139"/>
    <d v="2023-10-10T00:00:00"/>
    <n v="4217.3"/>
    <x v="0"/>
    <x v="0"/>
    <s v="High Revenue"/>
  </r>
  <r>
    <s v="B140"/>
    <s v="P012"/>
    <s v="T140"/>
    <d v="2023-02-05T00:00:00"/>
    <n v="4019.13"/>
    <x v="2"/>
    <x v="0"/>
    <s v="High Revenue"/>
  </r>
  <r>
    <s v="B141"/>
    <s v="P041"/>
    <s v="T141"/>
    <d v="2023-06-15T00:00:00"/>
    <n v="3689.35"/>
    <x v="0"/>
    <x v="0"/>
    <s v="High Revenue"/>
  </r>
  <r>
    <s v="B142"/>
    <s v="P019"/>
    <s v="T142"/>
    <d v="2023-11-01T00:00:00"/>
    <n v="662.72"/>
    <x v="0"/>
    <x v="1"/>
    <s v="Normal"/>
  </r>
  <r>
    <s v="B143"/>
    <s v="P012"/>
    <s v="T143"/>
    <d v="2023-09-21T00:00:00"/>
    <n v="1864.08"/>
    <x v="0"/>
    <x v="2"/>
    <s v="Normal"/>
  </r>
  <r>
    <s v="B144"/>
    <s v="P009"/>
    <s v="T144"/>
    <d v="2023-08-16T00:00:00"/>
    <n v="1684.01"/>
    <x v="0"/>
    <x v="2"/>
    <s v="Normal"/>
  </r>
  <r>
    <s v="B145"/>
    <s v="P007"/>
    <s v="T145"/>
    <d v="2023-11-11T00:00:00"/>
    <n v="2120.61"/>
    <x v="0"/>
    <x v="1"/>
    <s v="Normal"/>
  </r>
  <r>
    <s v="B146"/>
    <s v="P028"/>
    <s v="T146"/>
    <d v="2023-01-05T00:00:00"/>
    <n v="894.39"/>
    <x v="0"/>
    <x v="0"/>
    <s v="Normal"/>
  </r>
  <r>
    <s v="B147"/>
    <s v="P014"/>
    <s v="T147"/>
    <d v="2023-11-13T00:00:00"/>
    <n v="4716.3100000000004"/>
    <x v="0"/>
    <x v="2"/>
    <s v="High Revenue"/>
  </r>
  <r>
    <s v="B148"/>
    <s v="P031"/>
    <s v="T148"/>
    <d v="2023-12-06T00:00:00"/>
    <n v="2992.11"/>
    <x v="2"/>
    <x v="1"/>
    <s v="Normal"/>
  </r>
  <r>
    <s v="B149"/>
    <s v="P019"/>
    <s v="T149"/>
    <d v="2023-07-26T00:00:00"/>
    <n v="1874.86"/>
    <x v="1"/>
    <x v="2"/>
    <s v="Normal"/>
  </r>
  <r>
    <s v="B150"/>
    <s v="P047"/>
    <s v="T150"/>
    <d v="2023-08-16T00:00:00"/>
    <n v="2286.42"/>
    <x v="1"/>
    <x v="1"/>
    <s v="Normal"/>
  </r>
  <r>
    <s v="B151"/>
    <s v="P016"/>
    <s v="T151"/>
    <d v="2023-01-28T00:00:00"/>
    <n v="2512.41"/>
    <x v="2"/>
    <x v="0"/>
    <s v="Normal"/>
  </r>
  <r>
    <s v="B152"/>
    <s v="P005"/>
    <s v="T152"/>
    <d v="2023-04-14T00:00:00"/>
    <n v="3202.67"/>
    <x v="2"/>
    <x v="2"/>
    <s v="High Revenue"/>
  </r>
  <r>
    <s v="B153"/>
    <s v="P035"/>
    <s v="T153"/>
    <d v="2023-07-08T00:00:00"/>
    <n v="2820.56"/>
    <x v="2"/>
    <x v="1"/>
    <s v="Normal"/>
  </r>
  <r>
    <s v="B154"/>
    <s v="P012"/>
    <s v="T154"/>
    <d v="2023-03-06T00:00:00"/>
    <n v="4637.26"/>
    <x v="2"/>
    <x v="2"/>
    <s v="High Revenue"/>
  </r>
  <r>
    <s v="B155"/>
    <s v="P025"/>
    <s v="T155"/>
    <d v="2023-01-03T00:00:00"/>
    <n v="2736.34"/>
    <x v="0"/>
    <x v="2"/>
    <s v="Normal"/>
  </r>
  <r>
    <s v="B156"/>
    <s v="P021"/>
    <s v="T156"/>
    <d v="2023-11-22T00:00:00"/>
    <n v="4964.71"/>
    <x v="1"/>
    <x v="2"/>
    <s v="High Revenue"/>
  </r>
  <r>
    <s v="B157"/>
    <s v="P036"/>
    <s v="T157"/>
    <d v="2023-05-12T00:00:00"/>
    <n v="4331.41"/>
    <x v="0"/>
    <x v="2"/>
    <s v="High Revenue"/>
  </r>
  <r>
    <s v="B158"/>
    <s v="P023"/>
    <s v="T158"/>
    <d v="2023-07-12T00:00:00"/>
    <n v="1438.3"/>
    <x v="1"/>
    <x v="1"/>
    <s v="Normal"/>
  </r>
  <r>
    <s v="B159"/>
    <s v="P016"/>
    <s v="T159"/>
    <d v="2023-04-08T00:00:00"/>
    <n v="4687.68"/>
    <x v="1"/>
    <x v="0"/>
    <s v="High Revenue"/>
  </r>
  <r>
    <s v="B160"/>
    <s v="P039"/>
    <s v="T160"/>
    <d v="2023-12-17T00:00:00"/>
    <n v="1023.65"/>
    <x v="2"/>
    <x v="1"/>
    <s v="Normal"/>
  </r>
  <r>
    <s v="B161"/>
    <s v="P045"/>
    <s v="T161"/>
    <d v="2023-06-17T00:00:00"/>
    <n v="4178.5200000000004"/>
    <x v="0"/>
    <x v="1"/>
    <s v="High Revenue"/>
  </r>
  <r>
    <s v="B162"/>
    <s v="P042"/>
    <s v="T162"/>
    <d v="2023-01-01T00:00:00"/>
    <n v="2212.8000000000002"/>
    <x v="2"/>
    <x v="1"/>
    <s v="Normal"/>
  </r>
  <r>
    <s v="B163"/>
    <s v="P039"/>
    <s v="T163"/>
    <d v="2023-06-27T00:00:00"/>
    <n v="4450.88"/>
    <x v="0"/>
    <x v="0"/>
    <s v="High Revenue"/>
  </r>
  <r>
    <s v="B164"/>
    <s v="P014"/>
    <s v="T164"/>
    <d v="2023-07-28T00:00:00"/>
    <n v="4406.26"/>
    <x v="1"/>
    <x v="2"/>
    <s v="High Revenue"/>
  </r>
  <r>
    <s v="B165"/>
    <s v="P031"/>
    <s v="T165"/>
    <d v="2023-04-04T00:00:00"/>
    <n v="4126.66"/>
    <x v="2"/>
    <x v="2"/>
    <s v="High Revenue"/>
  </r>
  <r>
    <s v="B166"/>
    <s v="P005"/>
    <s v="T166"/>
    <d v="2023-01-12T00:00:00"/>
    <n v="4055.14"/>
    <x v="2"/>
    <x v="2"/>
    <s v="High Revenue"/>
  </r>
  <r>
    <s v="B167"/>
    <s v="P035"/>
    <s v="T167"/>
    <d v="2023-11-15T00:00:00"/>
    <n v="1871.06"/>
    <x v="1"/>
    <x v="0"/>
    <s v="Normal"/>
  </r>
  <r>
    <s v="B168"/>
    <s v="P023"/>
    <s v="T168"/>
    <d v="2023-09-29T00:00:00"/>
    <n v="864.14"/>
    <x v="1"/>
    <x v="2"/>
    <s v="Normal"/>
  </r>
  <r>
    <s v="B169"/>
    <s v="P029"/>
    <s v="T169"/>
    <d v="2023-07-24T00:00:00"/>
    <n v="2313.41"/>
    <x v="1"/>
    <x v="0"/>
    <s v="Normal"/>
  </r>
  <r>
    <s v="B170"/>
    <s v="P043"/>
    <s v="T170"/>
    <d v="2023-03-03T00:00:00"/>
    <n v="1280.8599999999999"/>
    <x v="2"/>
    <x v="2"/>
    <s v="Normal"/>
  </r>
  <r>
    <s v="B171"/>
    <s v="P011"/>
    <s v="T171"/>
    <d v="2023-04-18T00:00:00"/>
    <n v="3627.28"/>
    <x v="0"/>
    <x v="2"/>
    <s v="High Revenue"/>
  </r>
  <r>
    <s v="B172"/>
    <s v="P018"/>
    <s v="T172"/>
    <d v="2023-03-09T00:00:00"/>
    <n v="2057.4499999999998"/>
    <x v="2"/>
    <x v="1"/>
    <s v="Normal"/>
  </r>
  <r>
    <s v="B173"/>
    <s v="P047"/>
    <s v="T173"/>
    <d v="2023-06-04T00:00:00"/>
    <n v="4890.25"/>
    <x v="0"/>
    <x v="0"/>
    <s v="High Revenue"/>
  </r>
  <r>
    <s v="B174"/>
    <s v="P012"/>
    <s v="T174"/>
    <d v="2023-10-31T00:00:00"/>
    <n v="3384.37"/>
    <x v="2"/>
    <x v="1"/>
    <s v="High Revenue"/>
  </r>
  <r>
    <s v="B175"/>
    <s v="P009"/>
    <s v="T175"/>
    <d v="2023-10-22T00:00:00"/>
    <n v="4201.16"/>
    <x v="2"/>
    <x v="1"/>
    <s v="High Revenue"/>
  </r>
  <r>
    <s v="B176"/>
    <s v="P010"/>
    <s v="T176"/>
    <d v="2023-04-26T00:00:00"/>
    <n v="1096.3599999999999"/>
    <x v="1"/>
    <x v="1"/>
    <s v="Normal"/>
  </r>
  <r>
    <s v="B177"/>
    <s v="P044"/>
    <s v="T177"/>
    <d v="2023-08-16T00:00:00"/>
    <n v="4379.07"/>
    <x v="0"/>
    <x v="0"/>
    <s v="High Revenue"/>
  </r>
  <r>
    <s v="B178"/>
    <s v="P017"/>
    <s v="T178"/>
    <d v="2023-01-17T00:00:00"/>
    <n v="4652.41"/>
    <x v="2"/>
    <x v="0"/>
    <s v="High Revenue"/>
  </r>
  <r>
    <s v="B179"/>
    <s v="P038"/>
    <s v="T179"/>
    <d v="2023-03-08T00:00:00"/>
    <n v="2691.78"/>
    <x v="2"/>
    <x v="2"/>
    <s v="Normal"/>
  </r>
  <r>
    <s v="B180"/>
    <s v="P007"/>
    <s v="T180"/>
    <d v="2023-01-07T00:00:00"/>
    <n v="3228.14"/>
    <x v="1"/>
    <x v="1"/>
    <s v="High Revenue"/>
  </r>
  <r>
    <s v="B181"/>
    <s v="P046"/>
    <s v="T181"/>
    <d v="2023-09-03T00:00:00"/>
    <n v="3941.64"/>
    <x v="1"/>
    <x v="2"/>
    <s v="High Revenue"/>
  </r>
  <r>
    <s v="B182"/>
    <s v="P013"/>
    <s v="T182"/>
    <d v="2023-04-12T00:00:00"/>
    <n v="1286.77"/>
    <x v="0"/>
    <x v="1"/>
    <s v="Normal"/>
  </r>
  <r>
    <s v="B183"/>
    <s v="P040"/>
    <s v="T183"/>
    <d v="2023-02-03T00:00:00"/>
    <n v="2761.55"/>
    <x v="2"/>
    <x v="0"/>
    <s v="Normal"/>
  </r>
  <r>
    <s v="B184"/>
    <s v="P042"/>
    <s v="T184"/>
    <d v="2023-02-26T00:00:00"/>
    <n v="2293.98"/>
    <x v="0"/>
    <x v="0"/>
    <s v="Normal"/>
  </r>
  <r>
    <s v="B185"/>
    <s v="P009"/>
    <s v="T185"/>
    <d v="2023-03-21T00:00:00"/>
    <n v="1158.68"/>
    <x v="2"/>
    <x v="0"/>
    <s v="Normal"/>
  </r>
  <r>
    <s v="B186"/>
    <s v="P050"/>
    <s v="T186"/>
    <d v="2023-03-27T00:00:00"/>
    <n v="2153.9"/>
    <x v="0"/>
    <x v="1"/>
    <s v="Normal"/>
  </r>
  <r>
    <s v="B187"/>
    <s v="P027"/>
    <s v="T187"/>
    <d v="2023-02-13T00:00:00"/>
    <n v="806.78"/>
    <x v="1"/>
    <x v="0"/>
    <s v="Normal"/>
  </r>
  <r>
    <s v="B188"/>
    <s v="P002"/>
    <s v="T188"/>
    <d v="2023-04-12T00:00:00"/>
    <n v="616.15"/>
    <x v="2"/>
    <x v="1"/>
    <s v="Normal"/>
  </r>
  <r>
    <s v="B189"/>
    <s v="P005"/>
    <s v="T189"/>
    <d v="2023-10-05T00:00:00"/>
    <n v="1108.25"/>
    <x v="0"/>
    <x v="2"/>
    <s v="Normal"/>
  </r>
  <r>
    <s v="B190"/>
    <s v="P029"/>
    <s v="T190"/>
    <d v="2023-11-16T00:00:00"/>
    <n v="4834.0200000000004"/>
    <x v="1"/>
    <x v="1"/>
    <s v="High Revenue"/>
  </r>
  <r>
    <s v="B191"/>
    <s v="P037"/>
    <s v="T191"/>
    <d v="2023-04-12T00:00:00"/>
    <n v="2972.88"/>
    <x v="1"/>
    <x v="2"/>
    <s v="Normal"/>
  </r>
  <r>
    <s v="B192"/>
    <s v="P038"/>
    <s v="T192"/>
    <d v="2023-08-31T00:00:00"/>
    <n v="4846.2"/>
    <x v="0"/>
    <x v="1"/>
    <s v="High Revenue"/>
  </r>
  <r>
    <s v="B193"/>
    <s v="P019"/>
    <s v="T193"/>
    <d v="2023-09-15T00:00:00"/>
    <n v="2446.2399999999998"/>
    <x v="2"/>
    <x v="2"/>
    <s v="Normal"/>
  </r>
  <r>
    <s v="B194"/>
    <s v="P008"/>
    <s v="T194"/>
    <d v="2023-04-06T00:00:00"/>
    <n v="1903.17"/>
    <x v="2"/>
    <x v="0"/>
    <s v="Normal"/>
  </r>
  <r>
    <s v="B195"/>
    <s v="P048"/>
    <s v="T195"/>
    <d v="2023-08-19T00:00:00"/>
    <n v="2777.64"/>
    <x v="1"/>
    <x v="2"/>
    <s v="Normal"/>
  </r>
  <r>
    <s v="B196"/>
    <s v="P045"/>
    <s v="T196"/>
    <d v="2023-10-26T00:00:00"/>
    <n v="2477.8000000000002"/>
    <x v="2"/>
    <x v="0"/>
    <s v="Normal"/>
  </r>
  <r>
    <s v="B197"/>
    <s v="P001"/>
    <s v="T197"/>
    <d v="2023-04-01T00:00:00"/>
    <n v="975.49"/>
    <x v="2"/>
    <x v="0"/>
    <s v="Normal"/>
  </r>
  <r>
    <s v="B198"/>
    <s v="P022"/>
    <s v="T198"/>
    <d v="2023-05-15T00:00:00"/>
    <n v="3383.72"/>
    <x v="2"/>
    <x v="2"/>
    <s v="High Revenue"/>
  </r>
  <r>
    <s v="B199"/>
    <s v="P017"/>
    <s v="T199"/>
    <d v="2023-05-01T00:00:00"/>
    <n v="1472.17"/>
    <x v="1"/>
    <x v="1"/>
    <s v="Normal"/>
  </r>
  <r>
    <s v="B200"/>
    <s v="P007"/>
    <s v="T200"/>
    <d v="2023-12-30T00:00:00"/>
    <n v="3288.15"/>
    <x v="0"/>
    <x v="1"/>
    <s v="High Revenu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P034"/>
    <s v="D009"/>
    <d v="2023-08-09T00:00:00"/>
    <d v="1899-12-30T15:15:00"/>
    <s v="Therapy"/>
    <x v="0"/>
    <x v="0"/>
    <n v="2023"/>
    <s v="Alex Smith"/>
    <x v="0"/>
  </r>
  <r>
    <x v="1"/>
    <s v="P032"/>
    <s v="D004"/>
    <d v="2023-06-09T00:00:00"/>
    <d v="1899-12-30T14:30:00"/>
    <s v="Therapy"/>
    <x v="1"/>
    <x v="1"/>
    <n v="2023"/>
    <s v="Alex Moore"/>
    <x v="1"/>
  </r>
  <r>
    <x v="2"/>
    <s v="P048"/>
    <s v="D004"/>
    <d v="2023-06-28T00:00:00"/>
    <d v="1899-12-30T08:00:00"/>
    <s v="Consultation"/>
    <x v="2"/>
    <x v="1"/>
    <n v="2023"/>
    <s v="Emily Miller"/>
    <x v="1"/>
  </r>
  <r>
    <x v="3"/>
    <s v="P025"/>
    <s v="D006"/>
    <d v="2023-09-01T00:00:00"/>
    <d v="1899-12-30T09:15:00"/>
    <s v="Consultation"/>
    <x v="2"/>
    <x v="2"/>
    <n v="2023"/>
    <s v="Robert Wilson"/>
    <x v="2"/>
  </r>
  <r>
    <x v="4"/>
    <s v="P040"/>
    <s v="D003"/>
    <d v="2023-07-06T00:00:00"/>
    <d v="1899-12-30T12:45:00"/>
    <s v="Emergency"/>
    <x v="1"/>
    <x v="3"/>
    <n v="2023"/>
    <s v="Emily Williams"/>
    <x v="3"/>
  </r>
  <r>
    <x v="5"/>
    <s v="P045"/>
    <s v="D006"/>
    <d v="2023-06-19T00:00:00"/>
    <d v="1899-12-30T16:15:00"/>
    <s v="Checkup"/>
    <x v="0"/>
    <x v="1"/>
    <n v="2023"/>
    <s v="Linda Miller"/>
    <x v="2"/>
  </r>
  <r>
    <x v="6"/>
    <s v="P001"/>
    <s v="D007"/>
    <d v="2023-04-09T00:00:00"/>
    <d v="1899-12-30T10:30:00"/>
    <s v="Consultation"/>
    <x v="0"/>
    <x v="4"/>
    <n v="2023"/>
    <s v="David Williams"/>
    <x v="4"/>
  </r>
  <r>
    <x v="7"/>
    <s v="P016"/>
    <s v="D010"/>
    <d v="2023-05-24T00:00:00"/>
    <d v="1899-12-30T08:45:00"/>
    <s v="Consultation"/>
    <x v="2"/>
    <x v="5"/>
    <n v="2023"/>
    <s v="Michael Taylor"/>
    <x v="5"/>
  </r>
  <r>
    <x v="8"/>
    <s v="P039"/>
    <s v="D010"/>
    <d v="2023-03-05T00:00:00"/>
    <d v="1899-12-30T13:45:00"/>
    <s v="Follow-up"/>
    <x v="0"/>
    <x v="6"/>
    <n v="2023"/>
    <s v="Jane Wilson"/>
    <x v="5"/>
  </r>
  <r>
    <x v="9"/>
    <s v="P005"/>
    <s v="D003"/>
    <d v="2023-01-13T00:00:00"/>
    <d v="1899-12-30T15:30:00"/>
    <s v="Therapy"/>
    <x v="3"/>
    <x v="7"/>
    <n v="2023"/>
    <s v="David Wilson"/>
    <x v="3"/>
  </r>
  <r>
    <x v="10"/>
    <s v="P022"/>
    <s v="D007"/>
    <d v="2023-11-12T00:00:00"/>
    <d v="1899-12-30T16:00:00"/>
    <s v="Checkup"/>
    <x v="1"/>
    <x v="8"/>
    <n v="2023"/>
    <s v="John Brown"/>
    <x v="4"/>
  </r>
  <r>
    <x v="11"/>
    <s v="P029"/>
    <s v="D003"/>
    <d v="2023-05-07T00:00:00"/>
    <d v="1899-12-30T10:00:00"/>
    <s v="Follow-up"/>
    <x v="3"/>
    <x v="5"/>
    <n v="2023"/>
    <s v="David Smith"/>
    <x v="3"/>
  </r>
  <r>
    <x v="12"/>
    <s v="P003"/>
    <s v="D002"/>
    <d v="2023-08-16T00:00:00"/>
    <d v="1899-12-30T12:00:00"/>
    <s v="Emergency"/>
    <x v="0"/>
    <x v="0"/>
    <n v="2023"/>
    <s v="Laura Jones"/>
    <x v="6"/>
  </r>
  <r>
    <x v="13"/>
    <s v="P012"/>
    <s v="D010"/>
    <d v="2023-05-25T00:00:00"/>
    <d v="1899-12-30T10:30:00"/>
    <s v="Emergency"/>
    <x v="2"/>
    <x v="5"/>
    <n v="2023"/>
    <s v="Laura Davis"/>
    <x v="5"/>
  </r>
  <r>
    <x v="14"/>
    <s v="P026"/>
    <s v="D004"/>
    <d v="2023-01-15T00:00:00"/>
    <d v="1899-12-30T17:15:00"/>
    <s v="Consultation"/>
    <x v="1"/>
    <x v="7"/>
    <n v="2023"/>
    <s v="John Taylor"/>
    <x v="1"/>
  </r>
  <r>
    <x v="15"/>
    <s v="P016"/>
    <s v="D008"/>
    <d v="2023-06-30T00:00:00"/>
    <d v="1899-12-30T11:00:00"/>
    <s v="Consultation"/>
    <x v="0"/>
    <x v="1"/>
    <n v="2023"/>
    <s v="Michael Taylor"/>
    <x v="7"/>
  </r>
  <r>
    <x v="16"/>
    <s v="P037"/>
    <s v="D009"/>
    <d v="2023-07-11T00:00:00"/>
    <d v="1899-12-30T17:00:00"/>
    <s v="Emergency"/>
    <x v="0"/>
    <x v="3"/>
    <n v="2023"/>
    <s v="Robert Williams"/>
    <x v="0"/>
  </r>
  <r>
    <x v="17"/>
    <s v="P022"/>
    <s v="D007"/>
    <d v="2023-11-14T00:00:00"/>
    <d v="1899-12-30T09:45:00"/>
    <s v="Consultation"/>
    <x v="2"/>
    <x v="8"/>
    <n v="2023"/>
    <s v="John Brown"/>
    <x v="4"/>
  </r>
  <r>
    <x v="18"/>
    <s v="P029"/>
    <s v="D001"/>
    <d v="2023-02-06T00:00:00"/>
    <d v="1899-12-30T15:30:00"/>
    <s v="Checkup"/>
    <x v="2"/>
    <x v="9"/>
    <n v="2023"/>
    <s v="David Smith"/>
    <x v="8"/>
  </r>
  <r>
    <x v="19"/>
    <s v="P014"/>
    <s v="D003"/>
    <d v="2023-12-05T00:00:00"/>
    <d v="1899-12-30T15:15:00"/>
    <s v="Consultation"/>
    <x v="3"/>
    <x v="10"/>
    <n v="2023"/>
    <s v="Alex Taylor"/>
    <x v="3"/>
  </r>
  <r>
    <x v="20"/>
    <s v="P028"/>
    <s v="D009"/>
    <d v="2023-04-24T00:00:00"/>
    <d v="1899-12-30T10:00:00"/>
    <s v="Therapy"/>
    <x v="1"/>
    <x v="4"/>
    <n v="2023"/>
    <s v="Alex Moore"/>
    <x v="0"/>
  </r>
  <r>
    <x v="21"/>
    <s v="P005"/>
    <s v="D001"/>
    <d v="2023-11-14T00:00:00"/>
    <d v="1899-12-30T13:00:00"/>
    <s v="Consultation"/>
    <x v="1"/>
    <x v="8"/>
    <n v="2023"/>
    <s v="David Wilson"/>
    <x v="8"/>
  </r>
  <r>
    <x v="22"/>
    <s v="P047"/>
    <s v="D009"/>
    <d v="2023-05-09T00:00:00"/>
    <d v="1899-12-30T14:30:00"/>
    <s v="Follow-up"/>
    <x v="2"/>
    <x v="5"/>
    <n v="2023"/>
    <s v="Jane Moore"/>
    <x v="0"/>
  </r>
  <r>
    <x v="23"/>
    <s v="P049"/>
    <s v="D008"/>
    <d v="2023-06-21T00:00:00"/>
    <d v="1899-12-30T08:00:00"/>
    <s v="Checkup"/>
    <x v="3"/>
    <x v="1"/>
    <n v="2023"/>
    <s v="David Moore"/>
    <x v="7"/>
  </r>
  <r>
    <x v="24"/>
    <s v="P030"/>
    <s v="D001"/>
    <d v="2023-02-25T00:00:00"/>
    <d v="1899-12-30T08:00:00"/>
    <s v="Follow-up"/>
    <x v="1"/>
    <x v="9"/>
    <n v="2023"/>
    <s v="Emily Moore"/>
    <x v="8"/>
  </r>
  <r>
    <x v="25"/>
    <s v="P046"/>
    <s v="D006"/>
    <d v="2023-03-17T00:00:00"/>
    <d v="1899-12-30T14:15:00"/>
    <s v="Follow-up"/>
    <x v="2"/>
    <x v="6"/>
    <n v="2023"/>
    <s v="Michael Taylor"/>
    <x v="2"/>
  </r>
  <r>
    <x v="26"/>
    <s v="P005"/>
    <s v="D005"/>
    <d v="2023-11-14T00:00:00"/>
    <d v="1899-12-30T12:45:00"/>
    <s v="Therapy"/>
    <x v="0"/>
    <x v="8"/>
    <n v="2023"/>
    <s v="David Wilson"/>
    <x v="9"/>
  </r>
  <r>
    <x v="27"/>
    <s v="P012"/>
    <s v="D006"/>
    <d v="2023-10-29T00:00:00"/>
    <d v="1899-12-30T15:30:00"/>
    <s v="Checkup"/>
    <x v="1"/>
    <x v="11"/>
    <n v="2023"/>
    <s v="Laura Davis"/>
    <x v="2"/>
  </r>
  <r>
    <x v="28"/>
    <s v="P016"/>
    <s v="D010"/>
    <d v="2023-06-25T00:00:00"/>
    <d v="1899-12-30T14:30:00"/>
    <s v="Checkup"/>
    <x v="3"/>
    <x v="1"/>
    <n v="2023"/>
    <s v="Michael Taylor"/>
    <x v="5"/>
  </r>
  <r>
    <x v="29"/>
    <s v="P026"/>
    <s v="D005"/>
    <d v="2023-08-29T00:00:00"/>
    <d v="1899-12-30T13:15:00"/>
    <s v="Checkup"/>
    <x v="3"/>
    <x v="0"/>
    <n v="2023"/>
    <s v="John Taylor"/>
    <x v="9"/>
  </r>
  <r>
    <x v="30"/>
    <s v="P026"/>
    <s v="D006"/>
    <d v="2023-04-04T00:00:00"/>
    <d v="1899-12-30T10:30:00"/>
    <s v="Checkup"/>
    <x v="3"/>
    <x v="4"/>
    <n v="2023"/>
    <s v="John Taylor"/>
    <x v="2"/>
  </r>
  <r>
    <x v="31"/>
    <s v="P048"/>
    <s v="D005"/>
    <d v="2023-11-06T00:00:00"/>
    <d v="1899-12-30T10:45:00"/>
    <s v="Checkup"/>
    <x v="0"/>
    <x v="8"/>
    <n v="2023"/>
    <s v="Emily Miller"/>
    <x v="9"/>
  </r>
  <r>
    <x v="32"/>
    <s v="P021"/>
    <s v="D005"/>
    <d v="2023-09-23T00:00:00"/>
    <d v="1899-12-30T17:45:00"/>
    <s v="Therapy"/>
    <x v="1"/>
    <x v="2"/>
    <n v="2023"/>
    <s v="Michael Wilson"/>
    <x v="9"/>
  </r>
  <r>
    <x v="33"/>
    <s v="P039"/>
    <s v="D004"/>
    <d v="2023-06-13T00:00:00"/>
    <d v="1899-12-30T11:30:00"/>
    <s v="Consultation"/>
    <x v="1"/>
    <x v="1"/>
    <n v="2023"/>
    <s v="Jane Wilson"/>
    <x v="1"/>
  </r>
  <r>
    <x v="34"/>
    <s v="P036"/>
    <s v="D003"/>
    <d v="2023-04-18T00:00:00"/>
    <d v="1899-12-30T08:45:00"/>
    <s v="Follow-up"/>
    <x v="0"/>
    <x v="4"/>
    <n v="2023"/>
    <s v="Michael Wilson"/>
    <x v="3"/>
  </r>
  <r>
    <x v="35"/>
    <s v="P033"/>
    <s v="D003"/>
    <d v="2023-01-08T00:00:00"/>
    <d v="1899-12-30T14:30:00"/>
    <s v="Checkup"/>
    <x v="1"/>
    <x v="7"/>
    <n v="2023"/>
    <s v="Michael Wilson"/>
    <x v="3"/>
  </r>
  <r>
    <x v="36"/>
    <s v="P030"/>
    <s v="D004"/>
    <d v="2023-03-28T00:00:00"/>
    <d v="1899-12-30T11:00:00"/>
    <s v="Consultation"/>
    <x v="0"/>
    <x v="6"/>
    <n v="2023"/>
    <s v="Emily Moore"/>
    <x v="1"/>
  </r>
  <r>
    <x v="37"/>
    <s v="P037"/>
    <s v="D009"/>
    <d v="2023-02-23T00:00:00"/>
    <d v="1899-12-30T13:00:00"/>
    <s v="Consultation"/>
    <x v="0"/>
    <x v="9"/>
    <n v="2023"/>
    <s v="Robert Williams"/>
    <x v="0"/>
  </r>
  <r>
    <x v="38"/>
    <s v="P023"/>
    <s v="D002"/>
    <d v="2023-04-17T00:00:00"/>
    <d v="1899-12-30T08:00:00"/>
    <s v="Follow-up"/>
    <x v="0"/>
    <x v="4"/>
    <n v="2023"/>
    <s v="Linda Johnson"/>
    <x v="6"/>
  </r>
  <r>
    <x v="39"/>
    <s v="P010"/>
    <s v="D009"/>
    <d v="2023-03-27T00:00:00"/>
    <d v="1899-12-30T12:30:00"/>
    <s v="Therapy"/>
    <x v="3"/>
    <x v="6"/>
    <n v="2023"/>
    <s v="Michael Taylor"/>
    <x v="0"/>
  </r>
  <r>
    <x v="40"/>
    <s v="P005"/>
    <s v="D001"/>
    <d v="2023-01-01T00:00:00"/>
    <d v="1899-12-30T14:00:00"/>
    <s v="Emergency"/>
    <x v="1"/>
    <x v="7"/>
    <n v="2023"/>
    <s v="David Wilson"/>
    <x v="8"/>
  </r>
  <r>
    <x v="41"/>
    <s v="P036"/>
    <s v="D001"/>
    <d v="2023-03-21T00:00:00"/>
    <d v="1899-12-30T11:15:00"/>
    <s v="Emergency"/>
    <x v="0"/>
    <x v="6"/>
    <n v="2023"/>
    <s v="Michael Wilson"/>
    <x v="8"/>
  </r>
  <r>
    <x v="42"/>
    <s v="P034"/>
    <s v="D005"/>
    <d v="2023-03-29T00:00:00"/>
    <d v="1899-12-30T09:15:00"/>
    <s v="Consultation"/>
    <x v="1"/>
    <x v="6"/>
    <n v="2023"/>
    <s v="Alex Smith"/>
    <x v="9"/>
  </r>
  <r>
    <x v="43"/>
    <s v="P031"/>
    <s v="D006"/>
    <d v="2023-09-20T00:00:00"/>
    <d v="1899-12-30T12:30:00"/>
    <s v="Follow-up"/>
    <x v="3"/>
    <x v="2"/>
    <n v="2023"/>
    <s v="Robert Miller"/>
    <x v="2"/>
  </r>
  <r>
    <x v="44"/>
    <s v="P010"/>
    <s v="D006"/>
    <d v="2023-09-28T00:00:00"/>
    <d v="1899-12-30T17:00:00"/>
    <s v="Emergency"/>
    <x v="0"/>
    <x v="2"/>
    <n v="2023"/>
    <s v="Michael Taylor"/>
    <x v="2"/>
  </r>
  <r>
    <x v="45"/>
    <s v="P019"/>
    <s v="D003"/>
    <d v="2023-12-20T00:00:00"/>
    <d v="1899-12-30T13:15:00"/>
    <s v="Consultation"/>
    <x v="2"/>
    <x v="10"/>
    <n v="2023"/>
    <s v="Sarah Miller"/>
    <x v="3"/>
  </r>
  <r>
    <x v="46"/>
    <s v="P032"/>
    <s v="D007"/>
    <d v="2023-05-02T00:00:00"/>
    <d v="1899-12-30T11:00:00"/>
    <s v="Therapy"/>
    <x v="3"/>
    <x v="5"/>
    <n v="2023"/>
    <s v="Alex Moore"/>
    <x v="4"/>
  </r>
  <r>
    <x v="47"/>
    <s v="P001"/>
    <s v="D009"/>
    <d v="2023-01-16T00:00:00"/>
    <d v="1899-12-30T15:45:00"/>
    <s v="Emergency"/>
    <x v="2"/>
    <x v="7"/>
    <n v="2023"/>
    <s v="David Williams"/>
    <x v="0"/>
  </r>
  <r>
    <x v="48"/>
    <s v="P005"/>
    <s v="D010"/>
    <d v="2023-04-30T00:00:00"/>
    <d v="1899-12-30T15:30:00"/>
    <s v="Consultation"/>
    <x v="1"/>
    <x v="4"/>
    <n v="2023"/>
    <s v="David Wilson"/>
    <x v="5"/>
  </r>
  <r>
    <x v="49"/>
    <s v="P045"/>
    <s v="D008"/>
    <d v="2023-08-16T00:00:00"/>
    <d v="1899-12-30T15:00:00"/>
    <s v="Consultation"/>
    <x v="1"/>
    <x v="0"/>
    <n v="2023"/>
    <s v="Linda Miller"/>
    <x v="7"/>
  </r>
  <r>
    <x v="50"/>
    <s v="P004"/>
    <s v="D006"/>
    <d v="2023-02-04T00:00:00"/>
    <d v="1899-12-30T11:45:00"/>
    <s v="Checkup"/>
    <x v="3"/>
    <x v="9"/>
    <n v="2023"/>
    <s v="Michael Johnson"/>
    <x v="2"/>
  </r>
  <r>
    <x v="51"/>
    <s v="P016"/>
    <s v="D008"/>
    <d v="2023-07-12T00:00:00"/>
    <d v="1899-12-30T09:30:00"/>
    <s v="Therapy"/>
    <x v="1"/>
    <x v="3"/>
    <n v="2023"/>
    <s v="Michael Taylor"/>
    <x v="7"/>
  </r>
  <r>
    <x v="52"/>
    <s v="P024"/>
    <s v="D005"/>
    <d v="2023-02-12T00:00:00"/>
    <d v="1899-12-30T10:30:00"/>
    <s v="Checkup"/>
    <x v="2"/>
    <x v="9"/>
    <n v="2023"/>
    <s v="Sarah Brown"/>
    <x v="9"/>
  </r>
  <r>
    <x v="53"/>
    <s v="P016"/>
    <s v="D008"/>
    <d v="2023-12-16T00:00:00"/>
    <d v="1899-12-30T11:45:00"/>
    <s v="Follow-up"/>
    <x v="0"/>
    <x v="10"/>
    <n v="2023"/>
    <s v="Michael Taylor"/>
    <x v="7"/>
  </r>
  <r>
    <x v="54"/>
    <s v="P002"/>
    <s v="D010"/>
    <d v="2023-10-06T00:00:00"/>
    <d v="1899-12-30T17:30:00"/>
    <s v="Checkup"/>
    <x v="0"/>
    <x v="11"/>
    <n v="2023"/>
    <s v="Emily Smith"/>
    <x v="5"/>
  </r>
  <r>
    <x v="55"/>
    <s v="P049"/>
    <s v="D004"/>
    <d v="2023-01-02T00:00:00"/>
    <d v="1899-12-30T12:45:00"/>
    <s v="Checkup"/>
    <x v="0"/>
    <x v="7"/>
    <n v="2023"/>
    <s v="David Moore"/>
    <x v="1"/>
  </r>
  <r>
    <x v="56"/>
    <s v="P028"/>
    <s v="D010"/>
    <d v="2023-04-15T00:00:00"/>
    <d v="1899-12-30T17:45:00"/>
    <s v="Emergency"/>
    <x v="3"/>
    <x v="4"/>
    <n v="2023"/>
    <s v="Alex Moore"/>
    <x v="5"/>
  </r>
  <r>
    <x v="57"/>
    <s v="P032"/>
    <s v="D008"/>
    <d v="2023-05-09T00:00:00"/>
    <d v="1899-12-30T13:15:00"/>
    <s v="Consultation"/>
    <x v="1"/>
    <x v="5"/>
    <n v="2023"/>
    <s v="Alex Moore"/>
    <x v="7"/>
  </r>
  <r>
    <x v="58"/>
    <s v="P027"/>
    <s v="D010"/>
    <d v="2023-03-09T00:00:00"/>
    <d v="1899-12-30T15:30:00"/>
    <s v="Therapy"/>
    <x v="2"/>
    <x v="6"/>
    <n v="2023"/>
    <s v="Linda Moore"/>
    <x v="5"/>
  </r>
  <r>
    <x v="59"/>
    <s v="P020"/>
    <s v="D002"/>
    <d v="2023-11-22T00:00:00"/>
    <d v="1899-12-30T17:15:00"/>
    <s v="Checkup"/>
    <x v="1"/>
    <x v="8"/>
    <n v="2023"/>
    <s v="Jane Moore"/>
    <x v="6"/>
  </r>
  <r>
    <x v="60"/>
    <s v="P024"/>
    <s v="D005"/>
    <d v="2023-01-15T00:00:00"/>
    <d v="1899-12-30T17:00:00"/>
    <s v="Therapy"/>
    <x v="1"/>
    <x v="7"/>
    <n v="2023"/>
    <s v="Sarah Brown"/>
    <x v="9"/>
  </r>
  <r>
    <x v="61"/>
    <s v="P012"/>
    <s v="D009"/>
    <d v="2023-06-14T00:00:00"/>
    <d v="1899-12-30T15:15:00"/>
    <s v="Checkup"/>
    <x v="1"/>
    <x v="1"/>
    <n v="2023"/>
    <s v="Laura Davis"/>
    <x v="0"/>
  </r>
  <r>
    <x v="62"/>
    <s v="P050"/>
    <s v="D004"/>
    <d v="2023-06-29T00:00:00"/>
    <d v="1899-12-30T09:00:00"/>
    <s v="Follow-up"/>
    <x v="0"/>
    <x v="1"/>
    <n v="2023"/>
    <s v="Laura Wilson"/>
    <x v="1"/>
  </r>
  <r>
    <x v="63"/>
    <s v="P035"/>
    <s v="D006"/>
    <d v="2023-05-31T00:00:00"/>
    <d v="1899-12-30T08:30:00"/>
    <s v="Checkup"/>
    <x v="2"/>
    <x v="5"/>
    <n v="2023"/>
    <s v="David Wilson"/>
    <x v="2"/>
  </r>
  <r>
    <x v="64"/>
    <s v="P033"/>
    <s v="D001"/>
    <d v="2023-04-24T00:00:00"/>
    <d v="1899-12-30T15:45:00"/>
    <s v="Emergency"/>
    <x v="2"/>
    <x v="4"/>
    <n v="2023"/>
    <s v="Michael Wilson"/>
    <x v="8"/>
  </r>
  <r>
    <x v="65"/>
    <s v="P033"/>
    <s v="D009"/>
    <d v="2023-05-10T00:00:00"/>
    <d v="1899-12-30T11:45:00"/>
    <s v="Consultation"/>
    <x v="1"/>
    <x v="5"/>
    <n v="2023"/>
    <s v="Michael Wilson"/>
    <x v="0"/>
  </r>
  <r>
    <x v="66"/>
    <s v="P043"/>
    <s v="D001"/>
    <d v="2023-08-10T00:00:00"/>
    <d v="1899-12-30T11:00:00"/>
    <s v="Follow-up"/>
    <x v="0"/>
    <x v="0"/>
    <n v="2023"/>
    <s v="Linda Brown"/>
    <x v="8"/>
  </r>
  <r>
    <x v="67"/>
    <s v="P037"/>
    <s v="D005"/>
    <d v="2023-03-14T00:00:00"/>
    <d v="1899-12-30T15:00:00"/>
    <s v="Checkup"/>
    <x v="0"/>
    <x v="6"/>
    <n v="2023"/>
    <s v="Robert Williams"/>
    <x v="9"/>
  </r>
  <r>
    <x v="68"/>
    <s v="P012"/>
    <s v="D004"/>
    <d v="2023-03-29T00:00:00"/>
    <d v="1899-12-30T15:30:00"/>
    <s v="Therapy"/>
    <x v="2"/>
    <x v="6"/>
    <n v="2023"/>
    <s v="Laura Davis"/>
    <x v="1"/>
  </r>
  <r>
    <x v="69"/>
    <s v="P003"/>
    <s v="D003"/>
    <d v="2023-08-26T00:00:00"/>
    <d v="1899-12-30T17:00:00"/>
    <s v="Follow-up"/>
    <x v="0"/>
    <x v="0"/>
    <n v="2023"/>
    <s v="Laura Jones"/>
    <x v="3"/>
  </r>
  <r>
    <x v="70"/>
    <s v="P001"/>
    <s v="D006"/>
    <d v="2023-01-26T00:00:00"/>
    <d v="1899-12-30T17:00:00"/>
    <s v="Follow-up"/>
    <x v="0"/>
    <x v="7"/>
    <n v="2023"/>
    <s v="David Williams"/>
    <x v="2"/>
  </r>
  <r>
    <x v="71"/>
    <s v="P033"/>
    <s v="D002"/>
    <d v="2023-06-12T00:00:00"/>
    <d v="1899-12-30T13:30:00"/>
    <s v="Checkup"/>
    <x v="0"/>
    <x v="1"/>
    <n v="2023"/>
    <s v="Michael Wilson"/>
    <x v="6"/>
  </r>
  <r>
    <x v="72"/>
    <s v="P040"/>
    <s v="D003"/>
    <d v="2023-12-24T00:00:00"/>
    <d v="1899-12-30T15:00:00"/>
    <s v="Follow-up"/>
    <x v="3"/>
    <x v="10"/>
    <n v="2023"/>
    <s v="Emily Williams"/>
    <x v="3"/>
  </r>
  <r>
    <x v="73"/>
    <s v="P010"/>
    <s v="D005"/>
    <d v="2023-07-23T00:00:00"/>
    <d v="1899-12-30T13:30:00"/>
    <s v="Therapy"/>
    <x v="1"/>
    <x v="3"/>
    <n v="2023"/>
    <s v="Michael Taylor"/>
    <x v="9"/>
  </r>
  <r>
    <x v="74"/>
    <s v="P043"/>
    <s v="D009"/>
    <d v="2023-05-08T00:00:00"/>
    <d v="1899-12-30T14:00:00"/>
    <s v="Follow-up"/>
    <x v="2"/>
    <x v="5"/>
    <n v="2023"/>
    <s v="Linda Brown"/>
    <x v="0"/>
  </r>
  <r>
    <x v="75"/>
    <s v="P044"/>
    <s v="D002"/>
    <d v="2023-11-27T00:00:00"/>
    <d v="1899-12-30T12:00:00"/>
    <s v="Therapy"/>
    <x v="2"/>
    <x v="8"/>
    <n v="2023"/>
    <s v="Robert Taylor"/>
    <x v="6"/>
  </r>
  <r>
    <x v="76"/>
    <s v="P029"/>
    <s v="D010"/>
    <d v="2023-12-14T00:00:00"/>
    <d v="1899-12-30T17:15:00"/>
    <s v="Checkup"/>
    <x v="3"/>
    <x v="10"/>
    <n v="2023"/>
    <s v="David Smith"/>
    <x v="5"/>
  </r>
  <r>
    <x v="77"/>
    <s v="P013"/>
    <s v="D008"/>
    <d v="2023-09-17T00:00:00"/>
    <d v="1899-12-30T11:15:00"/>
    <s v="Consultation"/>
    <x v="1"/>
    <x v="2"/>
    <n v="2023"/>
    <s v="Laura Johnson"/>
    <x v="7"/>
  </r>
  <r>
    <x v="78"/>
    <s v="P012"/>
    <s v="D002"/>
    <d v="2023-12-26T00:00:00"/>
    <d v="1899-12-30T14:00:00"/>
    <s v="Follow-up"/>
    <x v="2"/>
    <x v="10"/>
    <n v="2023"/>
    <s v="Laura Davis"/>
    <x v="6"/>
  </r>
  <r>
    <x v="79"/>
    <s v="P031"/>
    <s v="D005"/>
    <d v="2023-06-26T00:00:00"/>
    <d v="1899-12-30T08:30:00"/>
    <s v="Consultation"/>
    <x v="0"/>
    <x v="1"/>
    <n v="2023"/>
    <s v="Robert Miller"/>
    <x v="9"/>
  </r>
  <r>
    <x v="80"/>
    <s v="P046"/>
    <s v="D007"/>
    <d v="2023-01-06T00:00:00"/>
    <d v="1899-12-30T13:30:00"/>
    <s v="Therapy"/>
    <x v="2"/>
    <x v="7"/>
    <n v="2023"/>
    <s v="Michael Taylor"/>
    <x v="4"/>
  </r>
  <r>
    <x v="81"/>
    <s v="P002"/>
    <s v="D008"/>
    <d v="2023-01-20T00:00:00"/>
    <d v="1899-12-30T10:45:00"/>
    <s v="Follow-up"/>
    <x v="0"/>
    <x v="7"/>
    <n v="2023"/>
    <s v="Emily Smith"/>
    <x v="7"/>
  </r>
  <r>
    <x v="82"/>
    <s v="P050"/>
    <s v="D001"/>
    <d v="2023-11-07T00:00:00"/>
    <d v="1899-12-30T12:30:00"/>
    <s v="Emergency"/>
    <x v="3"/>
    <x v="8"/>
    <n v="2023"/>
    <s v="Laura Wilson"/>
    <x v="8"/>
  </r>
  <r>
    <x v="83"/>
    <s v="P035"/>
    <s v="D006"/>
    <d v="2023-05-31T00:00:00"/>
    <d v="1899-12-30T16:00:00"/>
    <s v="Consultation"/>
    <x v="0"/>
    <x v="5"/>
    <n v="2023"/>
    <s v="David Wilson"/>
    <x v="2"/>
  </r>
  <r>
    <x v="84"/>
    <s v="P023"/>
    <s v="D001"/>
    <d v="2023-02-18T00:00:00"/>
    <d v="1899-12-30T16:15:00"/>
    <s v="Follow-up"/>
    <x v="2"/>
    <x v="9"/>
    <n v="2023"/>
    <s v="Linda Johnson"/>
    <x v="8"/>
  </r>
  <r>
    <x v="85"/>
    <s v="P017"/>
    <s v="D002"/>
    <d v="2023-10-29T00:00:00"/>
    <d v="1899-12-30T11:00:00"/>
    <s v="Consultation"/>
    <x v="2"/>
    <x v="11"/>
    <n v="2023"/>
    <s v="Jane Jones"/>
    <x v="6"/>
  </r>
  <r>
    <x v="86"/>
    <s v="P026"/>
    <s v="D001"/>
    <d v="2023-10-19T00:00:00"/>
    <d v="1899-12-30T12:15:00"/>
    <s v="Follow-up"/>
    <x v="2"/>
    <x v="11"/>
    <n v="2023"/>
    <s v="John Taylor"/>
    <x v="8"/>
  </r>
  <r>
    <x v="87"/>
    <s v="P008"/>
    <s v="D005"/>
    <d v="2023-05-02T00:00:00"/>
    <d v="1899-12-30T16:30:00"/>
    <s v="Checkup"/>
    <x v="3"/>
    <x v="5"/>
    <n v="2023"/>
    <s v="David Davis"/>
    <x v="9"/>
  </r>
  <r>
    <x v="88"/>
    <s v="P029"/>
    <s v="D010"/>
    <d v="2023-02-14T00:00:00"/>
    <d v="1899-12-30T11:00:00"/>
    <s v="Consultation"/>
    <x v="3"/>
    <x v="9"/>
    <n v="2023"/>
    <s v="David Smith"/>
    <x v="5"/>
  </r>
  <r>
    <x v="89"/>
    <s v="P026"/>
    <s v="D009"/>
    <d v="2023-06-01T00:00:00"/>
    <d v="1899-12-30T17:30:00"/>
    <s v="Emergency"/>
    <x v="1"/>
    <x v="1"/>
    <n v="2023"/>
    <s v="John Taylor"/>
    <x v="0"/>
  </r>
  <r>
    <x v="90"/>
    <s v="P010"/>
    <s v="D006"/>
    <d v="2023-06-11T00:00:00"/>
    <d v="1899-12-30T13:15:00"/>
    <s v="Emergency"/>
    <x v="2"/>
    <x v="1"/>
    <n v="2023"/>
    <s v="Michael Taylor"/>
    <x v="2"/>
  </r>
  <r>
    <x v="91"/>
    <s v="P026"/>
    <s v="D001"/>
    <d v="2023-01-30T00:00:00"/>
    <d v="1899-12-30T14:15:00"/>
    <s v="Therapy"/>
    <x v="0"/>
    <x v="7"/>
    <n v="2023"/>
    <s v="John Taylor"/>
    <x v="8"/>
  </r>
  <r>
    <x v="92"/>
    <s v="P034"/>
    <s v="D001"/>
    <d v="2023-04-09T00:00:00"/>
    <d v="1899-12-30T09:30:00"/>
    <s v="Follow-up"/>
    <x v="3"/>
    <x v="4"/>
    <n v="2023"/>
    <s v="Alex Smith"/>
    <x v="8"/>
  </r>
  <r>
    <x v="93"/>
    <s v="P041"/>
    <s v="D002"/>
    <d v="2023-04-08T00:00:00"/>
    <d v="1899-12-30T08:45:00"/>
    <s v="Consultation"/>
    <x v="2"/>
    <x v="4"/>
    <n v="2023"/>
    <s v="Robert Williams"/>
    <x v="6"/>
  </r>
  <r>
    <x v="94"/>
    <s v="P007"/>
    <s v="D009"/>
    <d v="2023-05-09T00:00:00"/>
    <d v="1899-12-30T10:15:00"/>
    <s v="Therapy"/>
    <x v="2"/>
    <x v="5"/>
    <n v="2023"/>
    <s v="Alex Johnson"/>
    <x v="0"/>
  </r>
  <r>
    <x v="95"/>
    <s v="P004"/>
    <s v="D003"/>
    <d v="2023-07-07T00:00:00"/>
    <d v="1899-12-30T15:00:00"/>
    <s v="Consultation"/>
    <x v="3"/>
    <x v="3"/>
    <n v="2023"/>
    <s v="Michael Johnson"/>
    <x v="3"/>
  </r>
  <r>
    <x v="96"/>
    <s v="P050"/>
    <s v="D001"/>
    <d v="2023-05-06T00:00:00"/>
    <d v="1899-12-30T14:45:00"/>
    <s v="Follow-up"/>
    <x v="1"/>
    <x v="5"/>
    <n v="2023"/>
    <s v="Laura Wilson"/>
    <x v="8"/>
  </r>
  <r>
    <x v="97"/>
    <s v="P045"/>
    <s v="D005"/>
    <d v="2023-03-17T00:00:00"/>
    <d v="1899-12-30T13:00:00"/>
    <s v="Emergency"/>
    <x v="3"/>
    <x v="6"/>
    <n v="2023"/>
    <s v="Linda Miller"/>
    <x v="9"/>
  </r>
  <r>
    <x v="98"/>
    <s v="P011"/>
    <s v="D007"/>
    <d v="2023-07-04T00:00:00"/>
    <d v="1899-12-30T15:00:00"/>
    <s v="Checkup"/>
    <x v="3"/>
    <x v="3"/>
    <n v="2023"/>
    <s v="Emily Jones"/>
    <x v="4"/>
  </r>
  <r>
    <x v="99"/>
    <s v="P029"/>
    <s v="D006"/>
    <d v="2023-03-02T00:00:00"/>
    <d v="1899-12-30T08:00:00"/>
    <s v="Emergency"/>
    <x v="0"/>
    <x v="6"/>
    <n v="2023"/>
    <s v="David Smith"/>
    <x v="2"/>
  </r>
  <r>
    <x v="100"/>
    <s v="P036"/>
    <s v="D001"/>
    <d v="2023-09-21T00:00:00"/>
    <d v="1899-12-30T13:15:00"/>
    <s v="Therapy"/>
    <x v="0"/>
    <x v="2"/>
    <n v="2023"/>
    <s v="Michael Wilson"/>
    <x v="8"/>
  </r>
  <r>
    <x v="101"/>
    <s v="P025"/>
    <s v="D005"/>
    <d v="2023-10-25T00:00:00"/>
    <d v="1899-12-30T09:00:00"/>
    <s v="Checkup"/>
    <x v="1"/>
    <x v="11"/>
    <n v="2023"/>
    <s v="Robert Wilson"/>
    <x v="9"/>
  </r>
  <r>
    <x v="102"/>
    <s v="P021"/>
    <s v="D005"/>
    <d v="2023-01-24T00:00:00"/>
    <d v="1899-12-30T08:30:00"/>
    <s v="Therapy"/>
    <x v="2"/>
    <x v="7"/>
    <n v="2023"/>
    <s v="Michael Wilson"/>
    <x v="9"/>
  </r>
  <r>
    <x v="103"/>
    <s v="P036"/>
    <s v="D006"/>
    <d v="2023-04-18T00:00:00"/>
    <d v="1899-12-30T08:45:00"/>
    <s v="Follow-up"/>
    <x v="3"/>
    <x v="4"/>
    <n v="2023"/>
    <s v="Michael Wilson"/>
    <x v="2"/>
  </r>
  <r>
    <x v="104"/>
    <s v="P010"/>
    <s v="D003"/>
    <d v="2023-08-14T00:00:00"/>
    <d v="1899-12-30T16:00:00"/>
    <s v="Checkup"/>
    <x v="1"/>
    <x v="0"/>
    <n v="2023"/>
    <s v="Michael Taylor"/>
    <x v="3"/>
  </r>
  <r>
    <x v="105"/>
    <s v="P037"/>
    <s v="D005"/>
    <d v="2023-10-29T00:00:00"/>
    <d v="1899-12-30T11:15:00"/>
    <s v="Therapy"/>
    <x v="0"/>
    <x v="11"/>
    <n v="2023"/>
    <s v="Robert Williams"/>
    <x v="9"/>
  </r>
  <r>
    <x v="106"/>
    <s v="P009"/>
    <s v="D007"/>
    <d v="2023-04-17T00:00:00"/>
    <d v="1899-12-30T13:45:00"/>
    <s v="Follow-up"/>
    <x v="3"/>
    <x v="4"/>
    <n v="2023"/>
    <s v="Laura Davis"/>
    <x v="4"/>
  </r>
  <r>
    <x v="107"/>
    <s v="P024"/>
    <s v="D005"/>
    <d v="2023-04-21T00:00:00"/>
    <d v="1899-12-30T15:00:00"/>
    <s v="Emergency"/>
    <x v="2"/>
    <x v="4"/>
    <n v="2023"/>
    <s v="Sarah Brown"/>
    <x v="9"/>
  </r>
  <r>
    <x v="108"/>
    <s v="P035"/>
    <s v="D005"/>
    <d v="2023-07-29T00:00:00"/>
    <d v="1899-12-30T14:00:00"/>
    <s v="Follow-up"/>
    <x v="0"/>
    <x v="3"/>
    <n v="2023"/>
    <s v="David Wilson"/>
    <x v="9"/>
  </r>
  <r>
    <x v="109"/>
    <s v="P049"/>
    <s v="D005"/>
    <d v="2023-07-19T00:00:00"/>
    <d v="1899-12-30T14:30:00"/>
    <s v="Consultation"/>
    <x v="0"/>
    <x v="3"/>
    <n v="2023"/>
    <s v="David Moore"/>
    <x v="9"/>
  </r>
  <r>
    <x v="110"/>
    <s v="P035"/>
    <s v="D010"/>
    <d v="2023-05-22T00:00:00"/>
    <d v="1899-12-30T15:30:00"/>
    <s v="Follow-up"/>
    <x v="0"/>
    <x v="5"/>
    <n v="2023"/>
    <s v="David Wilson"/>
    <x v="5"/>
  </r>
  <r>
    <x v="111"/>
    <s v="P048"/>
    <s v="D010"/>
    <d v="2023-01-11T00:00:00"/>
    <d v="1899-12-30T08:00:00"/>
    <s v="Follow-up"/>
    <x v="1"/>
    <x v="7"/>
    <n v="2023"/>
    <s v="Emily Miller"/>
    <x v="5"/>
  </r>
  <r>
    <x v="112"/>
    <s v="P036"/>
    <s v="D003"/>
    <d v="2023-11-24T00:00:00"/>
    <d v="1899-12-30T15:30:00"/>
    <s v="Consultation"/>
    <x v="2"/>
    <x v="8"/>
    <n v="2023"/>
    <s v="Michael Wilson"/>
    <x v="3"/>
  </r>
  <r>
    <x v="113"/>
    <s v="P018"/>
    <s v="D001"/>
    <d v="2023-08-08T00:00:00"/>
    <d v="1899-12-30T09:00:00"/>
    <s v="Therapy"/>
    <x v="3"/>
    <x v="0"/>
    <n v="2023"/>
    <s v="Laura Wilson"/>
    <x v="8"/>
  </r>
  <r>
    <x v="114"/>
    <s v="P049"/>
    <s v="D005"/>
    <d v="2023-10-25T00:00:00"/>
    <d v="1899-12-30T10:30:00"/>
    <s v="Therapy"/>
    <x v="1"/>
    <x v="11"/>
    <n v="2023"/>
    <s v="David Moore"/>
    <x v="9"/>
  </r>
  <r>
    <x v="115"/>
    <s v="P039"/>
    <s v="D009"/>
    <d v="2023-07-07T00:00:00"/>
    <d v="1899-12-30T09:15:00"/>
    <s v="Follow-up"/>
    <x v="1"/>
    <x v="3"/>
    <n v="2023"/>
    <s v="Jane Wilson"/>
    <x v="0"/>
  </r>
  <r>
    <x v="116"/>
    <s v="P032"/>
    <s v="D001"/>
    <d v="2023-06-20T00:00:00"/>
    <d v="1899-12-30T13:45:00"/>
    <s v="Consultation"/>
    <x v="1"/>
    <x v="1"/>
    <n v="2023"/>
    <s v="Alex Moore"/>
    <x v="8"/>
  </r>
  <r>
    <x v="117"/>
    <s v="P024"/>
    <s v="D003"/>
    <d v="2023-08-09T00:00:00"/>
    <d v="1899-12-30T08:15:00"/>
    <s v="Consultation"/>
    <x v="0"/>
    <x v="0"/>
    <n v="2023"/>
    <s v="Sarah Brown"/>
    <x v="3"/>
  </r>
  <r>
    <x v="118"/>
    <s v="P023"/>
    <s v="D004"/>
    <d v="2023-12-18T00:00:00"/>
    <d v="1899-12-30T13:30:00"/>
    <s v="Emergency"/>
    <x v="2"/>
    <x v="10"/>
    <n v="2023"/>
    <s v="Linda Johnson"/>
    <x v="1"/>
  </r>
  <r>
    <x v="119"/>
    <s v="P032"/>
    <s v="D001"/>
    <d v="2023-12-08T00:00:00"/>
    <d v="1899-12-30T11:00:00"/>
    <s v="Therapy"/>
    <x v="1"/>
    <x v="10"/>
    <n v="2023"/>
    <s v="Alex Moore"/>
    <x v="8"/>
  </r>
  <r>
    <x v="120"/>
    <s v="P037"/>
    <s v="D001"/>
    <d v="2023-04-07T00:00:00"/>
    <d v="1899-12-30T15:00:00"/>
    <s v="Checkup"/>
    <x v="3"/>
    <x v="4"/>
    <n v="2023"/>
    <s v="Robert Williams"/>
    <x v="8"/>
  </r>
  <r>
    <x v="121"/>
    <s v="P012"/>
    <s v="D008"/>
    <d v="2023-07-11T00:00:00"/>
    <d v="1899-12-30T14:30:00"/>
    <s v="Therapy"/>
    <x v="2"/>
    <x v="3"/>
    <n v="2023"/>
    <s v="Laura Davis"/>
    <x v="7"/>
  </r>
  <r>
    <x v="122"/>
    <s v="P049"/>
    <s v="D002"/>
    <d v="2023-02-28T00:00:00"/>
    <d v="1899-12-30T10:45:00"/>
    <s v="Therapy"/>
    <x v="3"/>
    <x v="9"/>
    <n v="2023"/>
    <s v="David Moore"/>
    <x v="6"/>
  </r>
  <r>
    <x v="123"/>
    <s v="P013"/>
    <s v="D008"/>
    <d v="2023-03-16T00:00:00"/>
    <d v="1899-12-30T17:15:00"/>
    <s v="Emergency"/>
    <x v="2"/>
    <x v="6"/>
    <n v="2023"/>
    <s v="Laura Johnson"/>
    <x v="7"/>
  </r>
  <r>
    <x v="124"/>
    <s v="P023"/>
    <s v="D007"/>
    <d v="2023-02-18T00:00:00"/>
    <d v="1899-12-30T10:15:00"/>
    <s v="Checkup"/>
    <x v="3"/>
    <x v="9"/>
    <n v="2023"/>
    <s v="Linda Johnson"/>
    <x v="4"/>
  </r>
  <r>
    <x v="125"/>
    <s v="P025"/>
    <s v="D010"/>
    <d v="2023-11-02T00:00:00"/>
    <d v="1899-12-30T09:45:00"/>
    <s v="Emergency"/>
    <x v="0"/>
    <x v="8"/>
    <n v="2023"/>
    <s v="Robert Wilson"/>
    <x v="5"/>
  </r>
  <r>
    <x v="126"/>
    <s v="P035"/>
    <s v="D010"/>
    <d v="2023-11-13T00:00:00"/>
    <d v="1899-12-30T08:30:00"/>
    <s v="Checkup"/>
    <x v="1"/>
    <x v="8"/>
    <n v="2023"/>
    <s v="David Wilson"/>
    <x v="5"/>
  </r>
  <r>
    <x v="127"/>
    <s v="P041"/>
    <s v="D002"/>
    <d v="2023-04-15T00:00:00"/>
    <d v="1899-12-30T14:45:00"/>
    <s v="Follow-up"/>
    <x v="3"/>
    <x v="4"/>
    <n v="2023"/>
    <s v="Robert Williams"/>
    <x v="6"/>
  </r>
  <r>
    <x v="128"/>
    <s v="P030"/>
    <s v="D006"/>
    <d v="2023-08-25T00:00:00"/>
    <d v="1899-12-30T09:30:00"/>
    <s v="Checkup"/>
    <x v="2"/>
    <x v="0"/>
    <n v="2023"/>
    <s v="Emily Moore"/>
    <x v="2"/>
  </r>
  <r>
    <x v="129"/>
    <s v="P017"/>
    <s v="D006"/>
    <d v="2023-02-23T00:00:00"/>
    <d v="1899-12-30T15:00:00"/>
    <s v="Emergency"/>
    <x v="1"/>
    <x v="9"/>
    <n v="2023"/>
    <s v="Jane Jones"/>
    <x v="2"/>
  </r>
  <r>
    <x v="130"/>
    <s v="P049"/>
    <s v="D003"/>
    <d v="2023-05-11T00:00:00"/>
    <d v="1899-12-30T16:30:00"/>
    <s v="Therapy"/>
    <x v="1"/>
    <x v="5"/>
    <n v="2023"/>
    <s v="David Moore"/>
    <x v="3"/>
  </r>
  <r>
    <x v="131"/>
    <s v="P020"/>
    <s v="D002"/>
    <d v="2023-07-26T00:00:00"/>
    <d v="1899-12-30T10:45:00"/>
    <s v="Checkup"/>
    <x v="2"/>
    <x v="3"/>
    <n v="2023"/>
    <s v="Jane Moore"/>
    <x v="6"/>
  </r>
  <r>
    <x v="132"/>
    <s v="P048"/>
    <s v="D001"/>
    <d v="2023-03-23T00:00:00"/>
    <d v="1899-12-30T14:30:00"/>
    <s v="Checkup"/>
    <x v="3"/>
    <x v="6"/>
    <n v="2023"/>
    <s v="Emily Miller"/>
    <x v="8"/>
  </r>
  <r>
    <x v="133"/>
    <s v="P025"/>
    <s v="D006"/>
    <d v="2023-10-17T00:00:00"/>
    <d v="1899-12-30T15:15:00"/>
    <s v="Consultation"/>
    <x v="0"/>
    <x v="11"/>
    <n v="2023"/>
    <s v="Robert Wilson"/>
    <x v="2"/>
  </r>
  <r>
    <x v="134"/>
    <s v="P022"/>
    <s v="D005"/>
    <d v="2023-09-09T00:00:00"/>
    <d v="1899-12-30T16:30:00"/>
    <s v="Therapy"/>
    <x v="0"/>
    <x v="2"/>
    <n v="2023"/>
    <s v="John Brown"/>
    <x v="9"/>
  </r>
  <r>
    <x v="135"/>
    <s v="P013"/>
    <s v="D009"/>
    <d v="2023-05-13T00:00:00"/>
    <d v="1899-12-30T12:30:00"/>
    <s v="Follow-up"/>
    <x v="3"/>
    <x v="5"/>
    <n v="2023"/>
    <s v="Laura Johnson"/>
    <x v="0"/>
  </r>
  <r>
    <x v="136"/>
    <s v="P019"/>
    <s v="D001"/>
    <d v="2023-10-25T00:00:00"/>
    <d v="1899-12-30T10:00:00"/>
    <s v="Emergency"/>
    <x v="1"/>
    <x v="11"/>
    <n v="2023"/>
    <s v="Sarah Miller"/>
    <x v="8"/>
  </r>
  <r>
    <x v="137"/>
    <s v="P049"/>
    <s v="D007"/>
    <d v="2023-12-26T00:00:00"/>
    <d v="1899-12-30T15:15:00"/>
    <s v="Follow-up"/>
    <x v="1"/>
    <x v="10"/>
    <n v="2023"/>
    <s v="David Moore"/>
    <x v="4"/>
  </r>
  <r>
    <x v="138"/>
    <s v="P036"/>
    <s v="D005"/>
    <d v="2023-10-10T00:00:00"/>
    <d v="1899-12-30T10:45:00"/>
    <s v="Therapy"/>
    <x v="1"/>
    <x v="11"/>
    <n v="2023"/>
    <s v="Michael Wilson"/>
    <x v="9"/>
  </r>
  <r>
    <x v="139"/>
    <s v="P012"/>
    <s v="D005"/>
    <d v="2023-02-05T00:00:00"/>
    <d v="1899-12-30T15:15:00"/>
    <s v="Checkup"/>
    <x v="1"/>
    <x v="9"/>
    <n v="2023"/>
    <s v="Laura Davis"/>
    <x v="9"/>
  </r>
  <r>
    <x v="140"/>
    <s v="P041"/>
    <s v="D002"/>
    <d v="2023-06-15T00:00:00"/>
    <d v="1899-12-30T15:15:00"/>
    <s v="Checkup"/>
    <x v="3"/>
    <x v="1"/>
    <n v="2023"/>
    <s v="Robert Williams"/>
    <x v="6"/>
  </r>
  <r>
    <x v="141"/>
    <s v="P019"/>
    <s v="D003"/>
    <d v="2023-11-01T00:00:00"/>
    <d v="1899-12-30T11:45:00"/>
    <s v="Therapy"/>
    <x v="1"/>
    <x v="8"/>
    <n v="2023"/>
    <s v="Sarah Miller"/>
    <x v="3"/>
  </r>
  <r>
    <x v="142"/>
    <s v="P012"/>
    <s v="D007"/>
    <d v="2023-09-21T00:00:00"/>
    <d v="1899-12-30T12:15:00"/>
    <s v="Checkup"/>
    <x v="2"/>
    <x v="2"/>
    <n v="2023"/>
    <s v="Laura Davis"/>
    <x v="4"/>
  </r>
  <r>
    <x v="143"/>
    <s v="P009"/>
    <s v="D006"/>
    <d v="2023-08-16T00:00:00"/>
    <d v="1899-12-30T12:15:00"/>
    <s v="Checkup"/>
    <x v="1"/>
    <x v="0"/>
    <n v="2023"/>
    <s v="Laura Davis"/>
    <x v="2"/>
  </r>
  <r>
    <x v="144"/>
    <s v="P007"/>
    <s v="D002"/>
    <d v="2023-11-11T00:00:00"/>
    <d v="1899-12-30T14:45:00"/>
    <s v="Checkup"/>
    <x v="0"/>
    <x v="8"/>
    <n v="2023"/>
    <s v="Alex Johnson"/>
    <x v="6"/>
  </r>
  <r>
    <x v="145"/>
    <s v="P028"/>
    <s v="D006"/>
    <d v="2023-01-05T00:00:00"/>
    <d v="1899-12-30T09:30:00"/>
    <s v="Emergency"/>
    <x v="1"/>
    <x v="7"/>
    <n v="2023"/>
    <s v="Alex Moore"/>
    <x v="2"/>
  </r>
  <r>
    <x v="146"/>
    <s v="P014"/>
    <s v="D002"/>
    <d v="2023-11-13T00:00:00"/>
    <d v="1899-12-30T17:30:00"/>
    <s v="Emergency"/>
    <x v="3"/>
    <x v="8"/>
    <n v="2023"/>
    <s v="Alex Taylor"/>
    <x v="6"/>
  </r>
  <r>
    <x v="147"/>
    <s v="P031"/>
    <s v="D002"/>
    <d v="2023-12-06T00:00:00"/>
    <d v="1899-12-30T08:30:00"/>
    <s v="Consultation"/>
    <x v="0"/>
    <x v="10"/>
    <n v="2023"/>
    <s v="Robert Miller"/>
    <x v="6"/>
  </r>
  <r>
    <x v="148"/>
    <s v="P019"/>
    <s v="D002"/>
    <d v="2023-07-26T00:00:00"/>
    <d v="1899-12-30T12:30:00"/>
    <s v="Follow-up"/>
    <x v="3"/>
    <x v="3"/>
    <n v="2023"/>
    <s v="Sarah Miller"/>
    <x v="6"/>
  </r>
  <r>
    <x v="149"/>
    <s v="P047"/>
    <s v="D003"/>
    <d v="2023-08-16T00:00:00"/>
    <d v="1899-12-30T10:45:00"/>
    <s v="Therapy"/>
    <x v="3"/>
    <x v="0"/>
    <n v="2023"/>
    <s v="Jane Moore"/>
    <x v="3"/>
  </r>
  <r>
    <x v="150"/>
    <s v="P016"/>
    <s v="D002"/>
    <d v="2023-01-28T00:00:00"/>
    <d v="1899-12-30T09:15:00"/>
    <s v="Therapy"/>
    <x v="0"/>
    <x v="7"/>
    <n v="2023"/>
    <s v="Michael Taylor"/>
    <x v="6"/>
  </r>
  <r>
    <x v="151"/>
    <s v="P005"/>
    <s v="D004"/>
    <d v="2023-04-14T00:00:00"/>
    <d v="1899-12-30T08:30:00"/>
    <s v="Therapy"/>
    <x v="3"/>
    <x v="4"/>
    <n v="2023"/>
    <s v="David Wilson"/>
    <x v="1"/>
  </r>
  <r>
    <x v="152"/>
    <s v="P035"/>
    <s v="D009"/>
    <d v="2023-07-08T00:00:00"/>
    <d v="1899-12-30T12:45:00"/>
    <s v="Consultation"/>
    <x v="3"/>
    <x v="3"/>
    <n v="2023"/>
    <s v="David Wilson"/>
    <x v="0"/>
  </r>
  <r>
    <x v="153"/>
    <s v="P012"/>
    <s v="D006"/>
    <d v="2023-03-06T00:00:00"/>
    <d v="1899-12-30T17:30:00"/>
    <s v="Emergency"/>
    <x v="1"/>
    <x v="6"/>
    <n v="2023"/>
    <s v="Laura Davis"/>
    <x v="2"/>
  </r>
  <r>
    <x v="154"/>
    <s v="P025"/>
    <s v="D001"/>
    <d v="2023-01-03T00:00:00"/>
    <d v="1899-12-30T09:30:00"/>
    <s v="Consultation"/>
    <x v="2"/>
    <x v="7"/>
    <n v="2023"/>
    <s v="Robert Wilson"/>
    <x v="8"/>
  </r>
  <r>
    <x v="155"/>
    <s v="P021"/>
    <s v="D008"/>
    <d v="2023-11-22T00:00:00"/>
    <d v="1899-12-30T14:30:00"/>
    <s v="Therapy"/>
    <x v="3"/>
    <x v="8"/>
    <n v="2023"/>
    <s v="Michael Wilson"/>
    <x v="7"/>
  </r>
  <r>
    <x v="156"/>
    <s v="P036"/>
    <s v="D007"/>
    <d v="2023-05-12T00:00:00"/>
    <d v="1899-12-30T11:00:00"/>
    <s v="Follow-up"/>
    <x v="3"/>
    <x v="5"/>
    <n v="2023"/>
    <s v="Michael Wilson"/>
    <x v="4"/>
  </r>
  <r>
    <x v="157"/>
    <s v="P023"/>
    <s v="D010"/>
    <d v="2023-07-12T00:00:00"/>
    <d v="1899-12-30T12:15:00"/>
    <s v="Checkup"/>
    <x v="3"/>
    <x v="3"/>
    <n v="2023"/>
    <s v="Linda Johnson"/>
    <x v="5"/>
  </r>
  <r>
    <x v="158"/>
    <s v="P016"/>
    <s v="D003"/>
    <d v="2023-04-08T00:00:00"/>
    <d v="1899-12-30T16:15:00"/>
    <s v="Emergency"/>
    <x v="1"/>
    <x v="4"/>
    <n v="2023"/>
    <s v="Michael Taylor"/>
    <x v="3"/>
  </r>
  <r>
    <x v="159"/>
    <s v="P039"/>
    <s v="D001"/>
    <d v="2023-12-17T00:00:00"/>
    <d v="1899-12-30T12:45:00"/>
    <s v="Emergency"/>
    <x v="2"/>
    <x v="10"/>
    <n v="2023"/>
    <s v="Jane Wilson"/>
    <x v="8"/>
  </r>
  <r>
    <x v="160"/>
    <s v="P045"/>
    <s v="D005"/>
    <d v="2023-06-17T00:00:00"/>
    <d v="1899-12-30T10:45:00"/>
    <s v="Consultation"/>
    <x v="0"/>
    <x v="1"/>
    <n v="2023"/>
    <s v="Linda Miller"/>
    <x v="9"/>
  </r>
  <r>
    <x v="161"/>
    <s v="P042"/>
    <s v="D004"/>
    <d v="2023-01-01T00:00:00"/>
    <d v="1899-12-30T17:15:00"/>
    <s v="Emergency"/>
    <x v="1"/>
    <x v="7"/>
    <n v="2023"/>
    <s v="Jane Smith"/>
    <x v="1"/>
  </r>
  <r>
    <x v="162"/>
    <s v="P039"/>
    <s v="D010"/>
    <d v="2023-06-27T00:00:00"/>
    <d v="1899-12-30T15:00:00"/>
    <s v="Therapy"/>
    <x v="1"/>
    <x v="1"/>
    <n v="2023"/>
    <s v="Jane Wilson"/>
    <x v="5"/>
  </r>
  <r>
    <x v="163"/>
    <s v="P014"/>
    <s v="D008"/>
    <d v="2023-07-28T00:00:00"/>
    <d v="1899-12-30T17:15:00"/>
    <s v="Therapy"/>
    <x v="2"/>
    <x v="3"/>
    <n v="2023"/>
    <s v="Alex Taylor"/>
    <x v="7"/>
  </r>
  <r>
    <x v="164"/>
    <s v="P031"/>
    <s v="D001"/>
    <d v="2023-04-04T00:00:00"/>
    <d v="1899-12-30T15:30:00"/>
    <s v="Consultation"/>
    <x v="2"/>
    <x v="4"/>
    <n v="2023"/>
    <s v="Robert Miller"/>
    <x v="8"/>
  </r>
  <r>
    <x v="165"/>
    <s v="P005"/>
    <s v="D010"/>
    <d v="2023-01-12T00:00:00"/>
    <d v="1899-12-30T14:45:00"/>
    <s v="Therapy"/>
    <x v="1"/>
    <x v="7"/>
    <n v="2023"/>
    <s v="David Wilson"/>
    <x v="5"/>
  </r>
  <r>
    <x v="166"/>
    <s v="P035"/>
    <s v="D001"/>
    <d v="2023-11-15T00:00:00"/>
    <d v="1899-12-30T08:15:00"/>
    <s v="Follow-up"/>
    <x v="0"/>
    <x v="8"/>
    <n v="2023"/>
    <s v="David Wilson"/>
    <x v="8"/>
  </r>
  <r>
    <x v="167"/>
    <s v="P023"/>
    <s v="D004"/>
    <d v="2023-09-29T00:00:00"/>
    <d v="1899-12-30T10:00:00"/>
    <s v="Consultation"/>
    <x v="1"/>
    <x v="2"/>
    <n v="2023"/>
    <s v="Linda Johnson"/>
    <x v="1"/>
  </r>
  <r>
    <x v="168"/>
    <s v="P029"/>
    <s v="D008"/>
    <d v="2023-07-24T00:00:00"/>
    <d v="1899-12-30T16:45:00"/>
    <s v="Follow-up"/>
    <x v="2"/>
    <x v="3"/>
    <n v="2023"/>
    <s v="David Smith"/>
    <x v="7"/>
  </r>
  <r>
    <x v="169"/>
    <s v="P043"/>
    <s v="D005"/>
    <d v="2023-03-03T00:00:00"/>
    <d v="1899-12-30T09:00:00"/>
    <s v="Checkup"/>
    <x v="0"/>
    <x v="6"/>
    <n v="2023"/>
    <s v="Linda Brown"/>
    <x v="9"/>
  </r>
  <r>
    <x v="170"/>
    <s v="P011"/>
    <s v="D002"/>
    <d v="2023-04-18T00:00:00"/>
    <d v="1899-12-30T16:30:00"/>
    <s v="Follow-up"/>
    <x v="2"/>
    <x v="4"/>
    <n v="2023"/>
    <s v="Emily Jones"/>
    <x v="6"/>
  </r>
  <r>
    <x v="171"/>
    <s v="P018"/>
    <s v="D006"/>
    <d v="2023-03-09T00:00:00"/>
    <d v="1899-12-30T16:15:00"/>
    <s v="Checkup"/>
    <x v="0"/>
    <x v="6"/>
    <n v="2023"/>
    <s v="Laura Wilson"/>
    <x v="2"/>
  </r>
  <r>
    <x v="172"/>
    <s v="P047"/>
    <s v="D005"/>
    <d v="2023-06-04T00:00:00"/>
    <d v="1899-12-30T13:30:00"/>
    <s v="Checkup"/>
    <x v="3"/>
    <x v="1"/>
    <n v="2023"/>
    <s v="Jane Moore"/>
    <x v="9"/>
  </r>
  <r>
    <x v="173"/>
    <s v="P012"/>
    <s v="D002"/>
    <d v="2023-10-31T00:00:00"/>
    <d v="1899-12-30T11:15:00"/>
    <s v="Follow-up"/>
    <x v="2"/>
    <x v="11"/>
    <n v="2023"/>
    <s v="Laura Davis"/>
    <x v="6"/>
  </r>
  <r>
    <x v="174"/>
    <s v="P009"/>
    <s v="D003"/>
    <d v="2023-10-22T00:00:00"/>
    <d v="1899-12-30T17:00:00"/>
    <s v="Consultation"/>
    <x v="2"/>
    <x v="11"/>
    <n v="2023"/>
    <s v="Laura Davis"/>
    <x v="3"/>
  </r>
  <r>
    <x v="175"/>
    <s v="P010"/>
    <s v="D009"/>
    <d v="2023-04-26T00:00:00"/>
    <d v="1899-12-30T09:30:00"/>
    <s v="Therapy"/>
    <x v="1"/>
    <x v="4"/>
    <n v="2023"/>
    <s v="Michael Taylor"/>
    <x v="0"/>
  </r>
  <r>
    <x v="176"/>
    <s v="P044"/>
    <s v="D007"/>
    <d v="2023-08-16T00:00:00"/>
    <d v="1899-12-30T12:30:00"/>
    <s v="Therapy"/>
    <x v="2"/>
    <x v="0"/>
    <n v="2023"/>
    <s v="Robert Taylor"/>
    <x v="4"/>
  </r>
  <r>
    <x v="177"/>
    <s v="P017"/>
    <s v="D007"/>
    <d v="2023-01-17T00:00:00"/>
    <d v="1899-12-30T13:15:00"/>
    <s v="Checkup"/>
    <x v="2"/>
    <x v="7"/>
    <n v="2023"/>
    <s v="Jane Jones"/>
    <x v="4"/>
  </r>
  <r>
    <x v="178"/>
    <s v="P038"/>
    <s v="D006"/>
    <d v="2023-03-08T00:00:00"/>
    <d v="1899-12-30T12:15:00"/>
    <s v="Checkup"/>
    <x v="3"/>
    <x v="6"/>
    <n v="2023"/>
    <s v="David Smith"/>
    <x v="2"/>
  </r>
  <r>
    <x v="179"/>
    <s v="P007"/>
    <s v="D008"/>
    <d v="2023-01-07T00:00:00"/>
    <d v="1899-12-30T11:00:00"/>
    <s v="Consultation"/>
    <x v="2"/>
    <x v="7"/>
    <n v="2023"/>
    <s v="Alex Johnson"/>
    <x v="7"/>
  </r>
  <r>
    <x v="180"/>
    <s v="P046"/>
    <s v="D004"/>
    <d v="2023-09-03T00:00:00"/>
    <d v="1899-12-30T13:15:00"/>
    <s v="Emergency"/>
    <x v="3"/>
    <x v="2"/>
    <n v="2023"/>
    <s v="Michael Taylor"/>
    <x v="1"/>
  </r>
  <r>
    <x v="181"/>
    <s v="P013"/>
    <s v="D008"/>
    <d v="2023-04-12T00:00:00"/>
    <d v="1899-12-30T08:00:00"/>
    <s v="Follow-up"/>
    <x v="3"/>
    <x v="4"/>
    <n v="2023"/>
    <s v="Laura Johnson"/>
    <x v="7"/>
  </r>
  <r>
    <x v="182"/>
    <s v="P040"/>
    <s v="D004"/>
    <d v="2023-02-03T00:00:00"/>
    <d v="1899-12-30T16:15:00"/>
    <s v="Checkup"/>
    <x v="3"/>
    <x v="9"/>
    <n v="2023"/>
    <s v="Emily Williams"/>
    <x v="1"/>
  </r>
  <r>
    <x v="183"/>
    <s v="P042"/>
    <s v="D008"/>
    <d v="2023-02-26T00:00:00"/>
    <d v="1899-12-30T17:45:00"/>
    <s v="Therapy"/>
    <x v="3"/>
    <x v="9"/>
    <n v="2023"/>
    <s v="Jane Smith"/>
    <x v="7"/>
  </r>
  <r>
    <x v="184"/>
    <s v="P009"/>
    <s v="D009"/>
    <d v="2023-03-21T00:00:00"/>
    <d v="1899-12-30T14:00:00"/>
    <s v="Consultation"/>
    <x v="0"/>
    <x v="6"/>
    <n v="2023"/>
    <s v="Laura Davis"/>
    <x v="0"/>
  </r>
  <r>
    <x v="185"/>
    <s v="P050"/>
    <s v="D003"/>
    <d v="2023-03-27T00:00:00"/>
    <d v="1899-12-30T17:15:00"/>
    <s v="Follow-up"/>
    <x v="1"/>
    <x v="6"/>
    <n v="2023"/>
    <s v="Laura Wilson"/>
    <x v="3"/>
  </r>
  <r>
    <x v="186"/>
    <s v="P027"/>
    <s v="D003"/>
    <d v="2023-02-13T00:00:00"/>
    <d v="1899-12-30T12:30:00"/>
    <s v="Consultation"/>
    <x v="0"/>
    <x v="9"/>
    <n v="2023"/>
    <s v="Linda Moore"/>
    <x v="3"/>
  </r>
  <r>
    <x v="187"/>
    <s v="P002"/>
    <s v="D002"/>
    <d v="2023-04-12T00:00:00"/>
    <d v="1899-12-30T16:30:00"/>
    <s v="Follow-up"/>
    <x v="2"/>
    <x v="4"/>
    <n v="2023"/>
    <s v="Emily Smith"/>
    <x v="6"/>
  </r>
  <r>
    <x v="188"/>
    <s v="P005"/>
    <s v="D010"/>
    <d v="2023-10-05T00:00:00"/>
    <d v="1899-12-30T13:30:00"/>
    <s v="Follow-up"/>
    <x v="0"/>
    <x v="11"/>
    <n v="2023"/>
    <s v="David Wilson"/>
    <x v="5"/>
  </r>
  <r>
    <x v="189"/>
    <s v="P029"/>
    <s v="D003"/>
    <d v="2023-11-16T00:00:00"/>
    <d v="1899-12-30T15:15:00"/>
    <s v="Checkup"/>
    <x v="0"/>
    <x v="8"/>
    <n v="2023"/>
    <s v="David Smith"/>
    <x v="3"/>
  </r>
  <r>
    <x v="190"/>
    <s v="P037"/>
    <s v="D003"/>
    <d v="2023-04-12T00:00:00"/>
    <d v="1899-12-30T16:00:00"/>
    <s v="Consultation"/>
    <x v="2"/>
    <x v="4"/>
    <n v="2023"/>
    <s v="Robert Williams"/>
    <x v="3"/>
  </r>
  <r>
    <x v="191"/>
    <s v="P038"/>
    <s v="D005"/>
    <d v="2023-08-31T00:00:00"/>
    <d v="1899-12-30T14:15:00"/>
    <s v="Consultation"/>
    <x v="2"/>
    <x v="0"/>
    <n v="2023"/>
    <s v="David Smith"/>
    <x v="9"/>
  </r>
  <r>
    <x v="192"/>
    <s v="P019"/>
    <s v="D005"/>
    <d v="2023-09-15T00:00:00"/>
    <d v="1899-12-30T08:15:00"/>
    <s v="Therapy"/>
    <x v="2"/>
    <x v="2"/>
    <n v="2023"/>
    <s v="Sarah Miller"/>
    <x v="9"/>
  </r>
  <r>
    <x v="193"/>
    <s v="P008"/>
    <s v="D002"/>
    <d v="2023-04-06T00:00:00"/>
    <d v="1899-12-30T12:45:00"/>
    <s v="Therapy"/>
    <x v="0"/>
    <x v="4"/>
    <n v="2023"/>
    <s v="David Davis"/>
    <x v="6"/>
  </r>
  <r>
    <x v="194"/>
    <s v="P048"/>
    <s v="D010"/>
    <d v="2023-08-19T00:00:00"/>
    <d v="1899-12-30T17:15:00"/>
    <s v="Checkup"/>
    <x v="0"/>
    <x v="0"/>
    <n v="2023"/>
    <s v="Emily Miller"/>
    <x v="5"/>
  </r>
  <r>
    <x v="195"/>
    <s v="P045"/>
    <s v="D006"/>
    <d v="2023-10-26T00:00:00"/>
    <d v="1899-12-30T09:45:00"/>
    <s v="Checkup"/>
    <x v="2"/>
    <x v="11"/>
    <n v="2023"/>
    <s v="Linda Miller"/>
    <x v="2"/>
  </r>
  <r>
    <x v="196"/>
    <s v="P001"/>
    <s v="D005"/>
    <d v="2023-04-01T00:00:00"/>
    <d v="1899-12-30T13:30:00"/>
    <s v="Emergency"/>
    <x v="1"/>
    <x v="4"/>
    <n v="2023"/>
    <s v="David Williams"/>
    <x v="9"/>
  </r>
  <r>
    <x v="197"/>
    <s v="P022"/>
    <s v="D006"/>
    <d v="2023-05-15T00:00:00"/>
    <d v="1899-12-30T08:30:00"/>
    <s v="Therapy"/>
    <x v="1"/>
    <x v="5"/>
    <n v="2023"/>
    <s v="John Brown"/>
    <x v="2"/>
  </r>
  <r>
    <x v="198"/>
    <s v="P017"/>
    <s v="D001"/>
    <d v="2023-05-01T00:00:00"/>
    <d v="1899-12-30T12:45:00"/>
    <s v="Follow-up"/>
    <x v="3"/>
    <x v="5"/>
    <n v="2023"/>
    <s v="Jane Jones"/>
    <x v="8"/>
  </r>
  <r>
    <x v="199"/>
    <s v="P007"/>
    <s v="D005"/>
    <d v="2023-12-30T00:00:00"/>
    <d v="1899-12-30T10:15:00"/>
    <s v="Consultation"/>
    <x v="2"/>
    <x v="10"/>
    <n v="2023"/>
    <s v="Alex Johnson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001"/>
    <s v="David"/>
    <s v="Williams"/>
    <s v="F"/>
    <d v="1955-06-04T00:00:00"/>
    <n v="6939585183"/>
    <s v="789 Pine Rd"/>
    <d v="2022-06-23T00:00:00"/>
    <s v="WellnessCorp"/>
    <s v="INS840674"/>
    <s v="david.williams@mail.com"/>
    <s v="David Williams"/>
    <n v="70"/>
    <x v="0"/>
  </r>
  <r>
    <s v="P002"/>
    <s v="Emily"/>
    <s v="Smith"/>
    <s v="F"/>
    <d v="1984-10-12T00:00:00"/>
    <n v="8228188767"/>
    <s v="321 Maple Dr"/>
    <d v="2022-01-15T00:00:00"/>
    <s v="PulseSecure"/>
    <s v="INS354079"/>
    <s v="emily.smith@mail.com"/>
    <s v="Emily Smith"/>
    <n v="41"/>
    <x v="1"/>
  </r>
  <r>
    <s v="P003"/>
    <s v="Laura"/>
    <s v="Jones"/>
    <s v="M"/>
    <d v="1977-08-21T00:00:00"/>
    <n v="8397029847"/>
    <s v="321 Maple Dr"/>
    <d v="2022-02-07T00:00:00"/>
    <s v="PulseSecure"/>
    <s v="INS650929"/>
    <s v="laura.jones@mail.com"/>
    <s v="Laura Jones"/>
    <n v="48"/>
    <x v="1"/>
  </r>
  <r>
    <s v="P004"/>
    <s v="Michael"/>
    <s v="Johnson"/>
    <s v="F"/>
    <d v="1981-02-20T00:00:00"/>
    <n v="9019443432"/>
    <s v="123 Elm St"/>
    <d v="2021-03-02T00:00:00"/>
    <s v="HealthIndia"/>
    <s v="INS789944"/>
    <s v="michael.johnson@mail.com"/>
    <s v="Michael Johnson"/>
    <n v="45"/>
    <x v="1"/>
  </r>
  <r>
    <s v="P005"/>
    <s v="David"/>
    <s v="Wilson"/>
    <s v="M"/>
    <d v="1960-06-23T00:00:00"/>
    <n v="7734463155"/>
    <s v="123 Elm St"/>
    <d v="2021-09-29T00:00:00"/>
    <s v="MedCare Plus"/>
    <s v="INS788105"/>
    <s v="david.wilson@mail.com"/>
    <s v="David Wilson"/>
    <n v="65"/>
    <x v="0"/>
  </r>
  <r>
    <s v="P006"/>
    <s v="Linda"/>
    <s v="Jones"/>
    <s v="M"/>
    <d v="1963-06-16T00:00:00"/>
    <n v="7561777264"/>
    <s v="321 Maple Dr"/>
    <d v="2022-10-02T00:00:00"/>
    <s v="HealthIndia"/>
    <s v="INS613758"/>
    <s v="linda.jones@mail.com"/>
    <s v="Linda Jones"/>
    <n v="62"/>
    <x v="0"/>
  </r>
  <r>
    <s v="P007"/>
    <s v="Alex"/>
    <s v="Johnson"/>
    <s v="F"/>
    <d v="1989-06-08T00:00:00"/>
    <n v="6278710077"/>
    <s v="789 Pine Rd"/>
    <d v="2021-12-25T00:00:00"/>
    <s v="MedCare Plus"/>
    <s v="INS465890"/>
    <s v="alex.johnson@mail.com"/>
    <s v="Alex Johnson"/>
    <n v="36"/>
    <x v="1"/>
  </r>
  <r>
    <s v="P008"/>
    <s v="David"/>
    <s v="Davis"/>
    <s v="F"/>
    <d v="1976-07-05T00:00:00"/>
    <n v="7090558393"/>
    <s v="456 Oak Ave"/>
    <d v="2021-05-25T00:00:00"/>
    <s v="WellnessCorp"/>
    <s v="INS545101"/>
    <s v="david.davis@mail.com"/>
    <s v="David Davis"/>
    <n v="49"/>
    <x v="1"/>
  </r>
  <r>
    <s v="P009"/>
    <s v="Laura"/>
    <s v="Davis"/>
    <s v="M"/>
    <d v="1971-12-11T00:00:00"/>
    <n v="7060324619"/>
    <s v="321 Maple Dr"/>
    <d v="2022-09-18T00:00:00"/>
    <s v="PulseSecure"/>
    <s v="INS136631"/>
    <s v="laura.davis@mail.com"/>
    <s v="Laura Davis"/>
    <n v="54"/>
    <x v="1"/>
  </r>
  <r>
    <s v="P010"/>
    <s v="Michael"/>
    <s v="Taylor"/>
    <s v="M"/>
    <d v="2001-10-13T00:00:00"/>
    <n v="7081396733"/>
    <s v="123 Elm St"/>
    <d v="2022-08-24T00:00:00"/>
    <s v="WellnessCorp"/>
    <s v="INS866577"/>
    <s v="michael.taylor@mail.com"/>
    <s v="Michael Taylor"/>
    <n v="24"/>
    <x v="1"/>
  </r>
  <r>
    <s v="P011"/>
    <s v="Emily"/>
    <s v="Jones"/>
    <s v="F"/>
    <d v="1966-12-04T00:00:00"/>
    <n v="8990604070"/>
    <s v="789 Pine Rd"/>
    <d v="2022-09-27T00:00:00"/>
    <s v="MedCare Plus"/>
    <s v="INS172991"/>
    <s v="emily.jones@mail.com"/>
    <s v="Emily Jones"/>
    <n v="59"/>
    <x v="1"/>
  </r>
  <r>
    <s v="P012"/>
    <s v="Laura"/>
    <s v="Davis"/>
    <s v="F"/>
    <d v="1991-12-08T00:00:00"/>
    <n v="8135666049"/>
    <s v="321 Maple Dr"/>
    <d v="2023-04-27T00:00:00"/>
    <s v="MedCare Plus"/>
    <s v="INS104014"/>
    <s v="laura.davis@mail.com"/>
    <s v="Laura Davis"/>
    <n v="34"/>
    <x v="1"/>
  </r>
  <r>
    <s v="P013"/>
    <s v="Laura"/>
    <s v="Johnson"/>
    <s v="F"/>
    <d v="1990-03-28T00:00:00"/>
    <n v="9059178882"/>
    <s v="321 Maple Dr"/>
    <d v="2021-12-23T00:00:00"/>
    <s v="WellnessCorp"/>
    <s v="INS373237"/>
    <s v="laura.johnson@mail.com"/>
    <s v="Laura Johnson"/>
    <n v="36"/>
    <x v="1"/>
  </r>
  <r>
    <s v="P014"/>
    <s v="Alex"/>
    <s v="Taylor"/>
    <s v="M"/>
    <d v="1968-02-27T00:00:00"/>
    <n v="7292262512"/>
    <s v="789 Pine Rd"/>
    <d v="2023-12-12T00:00:00"/>
    <s v="MedCare Plus"/>
    <s v="INS118070"/>
    <s v="alex.taylor@mail.com"/>
    <s v="Alex Taylor"/>
    <n v="58"/>
    <x v="1"/>
  </r>
  <r>
    <s v="P015"/>
    <s v="Sarah"/>
    <s v="Johnson"/>
    <s v="M"/>
    <d v="1964-05-11T00:00:00"/>
    <n v="6636028516"/>
    <s v="321 Maple Dr"/>
    <d v="2021-09-25T00:00:00"/>
    <s v="WellnessCorp"/>
    <s v="INS922209"/>
    <s v="sarah.johnson@mail.com"/>
    <s v="Sarah Johnson"/>
    <n v="62"/>
    <x v="0"/>
  </r>
  <r>
    <s v="P016"/>
    <s v="Michael"/>
    <s v="Taylor"/>
    <s v="M"/>
    <d v="2000-07-22T00:00:00"/>
    <n v="7223380592"/>
    <s v="789 Pine Rd"/>
    <d v="2021-07-23T00:00:00"/>
    <s v="PulseSecure"/>
    <s v="INS156958"/>
    <s v="michael.taylor@mail.com"/>
    <s v="Michael Taylor"/>
    <n v="25"/>
    <x v="1"/>
  </r>
  <r>
    <s v="P017"/>
    <s v="Jane"/>
    <s v="Jones"/>
    <s v="M"/>
    <d v="1991-05-01T00:00:00"/>
    <n v="6158428240"/>
    <s v="456 Oak Ave"/>
    <d v="2022-09-26T00:00:00"/>
    <s v="WellnessCorp"/>
    <s v="INS182074"/>
    <s v="jane.jones@mail.com"/>
    <s v="Jane Jones"/>
    <n v="35"/>
    <x v="1"/>
  </r>
  <r>
    <s v="P018"/>
    <s v="Laura"/>
    <s v="Wilson"/>
    <s v="M"/>
    <d v="1979-09-24T00:00:00"/>
    <n v="7145815738"/>
    <s v="789 Pine Rd"/>
    <d v="2022-09-23T00:00:00"/>
    <s v="PulseSecure"/>
    <s v="INS635017"/>
    <s v="laura.wilson@mail.com"/>
    <s v="Laura Wilson"/>
    <n v="46"/>
    <x v="1"/>
  </r>
  <r>
    <s v="P019"/>
    <s v="Sarah"/>
    <s v="Miller"/>
    <s v="M"/>
    <d v="1975-05-24T00:00:00"/>
    <n v="8618058864"/>
    <s v="789 Pine Rd"/>
    <d v="2023-06-24T00:00:00"/>
    <s v="WellnessCorp"/>
    <s v="INS855073"/>
    <s v="sarah.miller@mail.com"/>
    <s v="Sarah Miller"/>
    <n v="50"/>
    <x v="1"/>
  </r>
  <r>
    <s v="P020"/>
    <s v="Jane"/>
    <s v="Moore"/>
    <s v="F"/>
    <d v="2003-06-06T00:00:00"/>
    <n v="8158989953"/>
    <s v="789 Pine Rd"/>
    <d v="2022-04-03T00:00:00"/>
    <s v="MedCare Plus"/>
    <s v="INS276089"/>
    <s v="jane.moore@mail.com"/>
    <s v="Jane Moore"/>
    <n v="22"/>
    <x v="1"/>
  </r>
  <r>
    <s v="P021"/>
    <s v="Michael"/>
    <s v="Wilson"/>
    <s v="M"/>
    <d v="2002-03-01T00:00:00"/>
    <n v="7765390555"/>
    <s v="321 Maple Dr"/>
    <d v="2022-01-19T00:00:00"/>
    <s v="WellnessCorp"/>
    <s v="INS297392"/>
    <s v="michael.wilson@mail.com"/>
    <s v="Michael Wilson"/>
    <n v="24"/>
    <x v="1"/>
  </r>
  <r>
    <s v="P022"/>
    <s v="John"/>
    <s v="Brown"/>
    <s v="M"/>
    <d v="1955-05-10T00:00:00"/>
    <n v="6221099573"/>
    <s v="321 Maple Dr"/>
    <d v="2021-05-11T00:00:00"/>
    <s v="MedCare Plus"/>
    <s v="INS258823"/>
    <s v="john.brown@mail.com"/>
    <s v="John Brown"/>
    <n v="71"/>
    <x v="0"/>
  </r>
  <r>
    <s v="P023"/>
    <s v="Linda"/>
    <s v="Johnson"/>
    <s v="M"/>
    <d v="1994-02-22T00:00:00"/>
    <n v="6141951830"/>
    <s v="789 Pine Rd"/>
    <d v="2021-12-27T00:00:00"/>
    <s v="WellnessCorp"/>
    <s v="INS730152"/>
    <s v="linda.johnson@mail.com"/>
    <s v="Linda Johnson"/>
    <n v="32"/>
    <x v="1"/>
  </r>
  <r>
    <s v="P024"/>
    <s v="Sarah"/>
    <s v="Brown"/>
    <s v="F"/>
    <d v="1991-11-04T00:00:00"/>
    <n v="7196777444"/>
    <s v="321 Maple Dr"/>
    <d v="2021-09-02T00:00:00"/>
    <s v="WellnessCorp"/>
    <s v="INS493002"/>
    <s v="sarah.brown@mail.com"/>
    <s v="Sarah Brown"/>
    <n v="34"/>
    <x v="1"/>
  </r>
  <r>
    <s v="P025"/>
    <s v="Robert"/>
    <s v="Wilson"/>
    <s v="M"/>
    <d v="1966-08-14T00:00:00"/>
    <n v="7482069727"/>
    <s v="123 Elm St"/>
    <d v="2021-09-09T00:00:00"/>
    <s v="HealthIndia"/>
    <s v="INS833429"/>
    <s v="robert.wilson@mail.com"/>
    <s v="Robert Wilson"/>
    <n v="59"/>
    <x v="1"/>
  </r>
  <r>
    <s v="P026"/>
    <s v="John"/>
    <s v="Taylor"/>
    <s v="M"/>
    <d v="2003-11-28T00:00:00"/>
    <n v="9900972256"/>
    <s v="123 Elm St"/>
    <d v="2021-05-13T00:00:00"/>
    <s v="MedCare Plus"/>
    <s v="INS598863"/>
    <s v="john.taylor@mail.com"/>
    <s v="John Taylor"/>
    <n v="22"/>
    <x v="1"/>
  </r>
  <r>
    <s v="P027"/>
    <s v="Linda"/>
    <s v="Moore"/>
    <s v="F"/>
    <d v="1998-06-29T00:00:00"/>
    <n v="8724518272"/>
    <s v="321 Maple Dr"/>
    <d v="2021-08-15T00:00:00"/>
    <s v="HealthIndia"/>
    <s v="INS467654"/>
    <s v="linda.moore@mail.com"/>
    <s v="Linda Moore"/>
    <n v="27"/>
    <x v="1"/>
  </r>
  <r>
    <s v="P028"/>
    <s v="Alex"/>
    <s v="Moore"/>
    <s v="M"/>
    <d v="1993-04-13T00:00:00"/>
    <n v="7028910482"/>
    <s v="321 Maple Dr"/>
    <d v="2023-05-20T00:00:00"/>
    <s v="MedCare Plus"/>
    <s v="INS679036"/>
    <s v="alex.moore@mail.com"/>
    <s v="Alex Moore"/>
    <n v="33"/>
    <x v="1"/>
  </r>
  <r>
    <s v="P029"/>
    <s v="David"/>
    <s v="Smith"/>
    <s v="M"/>
    <d v="2005-05-15T00:00:00"/>
    <n v="8923607677"/>
    <s v="789 Pine Rd"/>
    <d v="2023-04-19T00:00:00"/>
    <s v="HealthIndia"/>
    <s v="INS630089"/>
    <s v="david.smith@mail.com"/>
    <s v="David Smith"/>
    <n v="21"/>
    <x v="1"/>
  </r>
  <r>
    <s v="P030"/>
    <s v="Emily"/>
    <s v="Moore"/>
    <s v="M"/>
    <d v="1964-12-23T00:00:00"/>
    <n v="6622318721"/>
    <s v="456 Oak Ave"/>
    <d v="2021-08-07T00:00:00"/>
    <s v="PulseSecure"/>
    <s v="INS250262"/>
    <s v="emily.moore@mail.com"/>
    <s v="Emily Moore"/>
    <n v="61"/>
    <x v="0"/>
  </r>
  <r>
    <s v="P031"/>
    <s v="Robert"/>
    <s v="Miller"/>
    <s v="M"/>
    <d v="1987-01-14T00:00:00"/>
    <n v="8280346676"/>
    <s v="321 Maple Dr"/>
    <d v="2022-06-28T00:00:00"/>
    <s v="WellnessCorp"/>
    <s v="INS542905"/>
    <s v="robert.miller@mail.com"/>
    <s v="Robert Miller"/>
    <n v="39"/>
    <x v="1"/>
  </r>
  <r>
    <s v="P032"/>
    <s v="Alex"/>
    <s v="Moore"/>
    <s v="M"/>
    <d v="1981-01-08T00:00:00"/>
    <n v="8102183595"/>
    <s v="123 Elm St"/>
    <d v="2021-10-02T00:00:00"/>
    <s v="MedCare Plus"/>
    <s v="INS335362"/>
    <s v="alex.moore@mail.com"/>
    <s v="Alex Moore"/>
    <n v="45"/>
    <x v="1"/>
  </r>
  <r>
    <s v="P033"/>
    <s v="Michael"/>
    <s v="Wilson"/>
    <s v="F"/>
    <d v="1970-02-06T00:00:00"/>
    <n v="7923214041"/>
    <s v="789 Pine Rd"/>
    <d v="2023-09-06T00:00:00"/>
    <s v="MedCare Plus"/>
    <s v="INS544209"/>
    <s v="michael.wilson@mail.com"/>
    <s v="Michael Wilson"/>
    <n v="56"/>
    <x v="1"/>
  </r>
  <r>
    <s v="P034"/>
    <s v="Alex"/>
    <s v="Smith"/>
    <s v="F"/>
    <d v="1950-01-26T00:00:00"/>
    <n v="8374657733"/>
    <s v="321 Maple Dr"/>
    <d v="2023-06-18T00:00:00"/>
    <s v="WellnessCorp"/>
    <s v="INS653880"/>
    <s v="alex.smith@mail.com"/>
    <s v="Alex Smith"/>
    <n v="76"/>
    <x v="0"/>
  </r>
  <r>
    <s v="P035"/>
    <s v="David"/>
    <s v="Wilson"/>
    <s v="F"/>
    <d v="1993-04-13T00:00:00"/>
    <n v="7039619487"/>
    <s v="123 Elm St"/>
    <d v="2023-07-09T00:00:00"/>
    <s v="MedCare Plus"/>
    <s v="INS897079"/>
    <s v="david.wilson@mail.com"/>
    <s v="David Wilson"/>
    <n v="33"/>
    <x v="1"/>
  </r>
  <r>
    <s v="P036"/>
    <s v="Michael"/>
    <s v="Wilson"/>
    <s v="M"/>
    <d v="1997-12-26T00:00:00"/>
    <n v="8545613046"/>
    <s v="123 Elm St"/>
    <d v="2022-10-04T00:00:00"/>
    <s v="MedCare Plus"/>
    <s v="INS764076"/>
    <s v="michael.wilson@mail.com"/>
    <s v="Michael Wilson"/>
    <n v="28"/>
    <x v="1"/>
  </r>
  <r>
    <s v="P037"/>
    <s v="Robert"/>
    <s v="Williams"/>
    <s v="M"/>
    <d v="1999-02-05T00:00:00"/>
    <n v="8886800195"/>
    <s v="456 Oak Ave"/>
    <d v="2021-09-30T00:00:00"/>
    <s v="HealthIndia"/>
    <s v="INS319963"/>
    <s v="robert.williams@mail.com"/>
    <s v="Robert Williams"/>
    <n v="27"/>
    <x v="1"/>
  </r>
  <r>
    <s v="P038"/>
    <s v="David"/>
    <s v="Smith"/>
    <s v="M"/>
    <d v="1991-06-25T00:00:00"/>
    <n v="6347262390"/>
    <s v="789 Pine Rd"/>
    <d v="2021-04-19T00:00:00"/>
    <s v="MedCare Plus"/>
    <s v="INS580761"/>
    <s v="david.smith@mail.com"/>
    <s v="David Smith"/>
    <n v="34"/>
    <x v="1"/>
  </r>
  <r>
    <s v="P039"/>
    <s v="Jane"/>
    <s v="Wilson"/>
    <s v="F"/>
    <d v="1950-12-12T00:00:00"/>
    <n v="9271131338"/>
    <s v="789 Pine Rd"/>
    <d v="2021-03-09T00:00:00"/>
    <s v="PulseSecure"/>
    <s v="INS348710"/>
    <s v="jane.wilson@mail.com"/>
    <s v="Jane Wilson"/>
    <n v="75"/>
    <x v="0"/>
  </r>
  <r>
    <s v="P040"/>
    <s v="Emily"/>
    <s v="Williams"/>
    <s v="M"/>
    <d v="1972-05-30T00:00:00"/>
    <n v="7587653815"/>
    <s v="456 Oak Ave"/>
    <d v="2021-10-16T00:00:00"/>
    <s v="PulseSecure"/>
    <s v="INS320984"/>
    <s v="emily.williams@mail.com"/>
    <s v="Emily Williams"/>
    <n v="53"/>
    <x v="1"/>
  </r>
  <r>
    <s v="P041"/>
    <s v="Robert"/>
    <s v="Williams"/>
    <s v="M"/>
    <d v="1951-06-19T00:00:00"/>
    <n v="7020645498"/>
    <s v="456 Oak Ave"/>
    <d v="2022-07-16T00:00:00"/>
    <s v="WellnessCorp"/>
    <s v="INS997059"/>
    <s v="robert.williams@mail.com"/>
    <s v="Robert Williams"/>
    <n v="74"/>
    <x v="0"/>
  </r>
  <r>
    <s v="P042"/>
    <s v="Jane"/>
    <s v="Smith"/>
    <s v="F"/>
    <d v="1954-08-22T00:00:00"/>
    <n v="7040069008"/>
    <s v="789 Pine Rd"/>
    <d v="2022-03-15T00:00:00"/>
    <s v="MedCare Plus"/>
    <s v="INS956748"/>
    <s v="jane.smith@mail.com"/>
    <s v="Jane Smith"/>
    <n v="71"/>
    <x v="0"/>
  </r>
  <r>
    <s v="P043"/>
    <s v="Linda"/>
    <s v="Brown"/>
    <s v="M"/>
    <d v="1980-03-25T00:00:00"/>
    <n v="9127665406"/>
    <s v="789 Pine Rd"/>
    <d v="2022-07-18T00:00:00"/>
    <s v="WellnessCorp"/>
    <s v="INS882355"/>
    <s v="linda.brown@mail.com"/>
    <s v="Linda Brown"/>
    <n v="46"/>
    <x v="1"/>
  </r>
  <r>
    <s v="P044"/>
    <s v="Robert"/>
    <s v="Taylor"/>
    <s v="F"/>
    <d v="1976-03-11T00:00:00"/>
    <n v="9449458981"/>
    <s v="321 Maple Dr"/>
    <d v="2023-01-26T00:00:00"/>
    <s v="PulseSecure"/>
    <s v="INS364512"/>
    <s v="robert.taylor@mail.com"/>
    <s v="Robert Taylor"/>
    <n v="50"/>
    <x v="1"/>
  </r>
  <r>
    <s v="P045"/>
    <s v="Linda"/>
    <s v="Miller"/>
    <s v="F"/>
    <d v="1966-04-25T00:00:00"/>
    <n v="7579616535"/>
    <s v="321 Maple Dr"/>
    <d v="2021-01-23T00:00:00"/>
    <s v="MedCare Plus"/>
    <s v="INS701863"/>
    <s v="linda.miller@mail.com"/>
    <s v="Linda Miller"/>
    <n v="60"/>
    <x v="0"/>
  </r>
  <r>
    <s v="P046"/>
    <s v="Michael"/>
    <s v="Taylor"/>
    <s v="F"/>
    <d v="1986-09-01T00:00:00"/>
    <n v="8019925828"/>
    <s v="456 Oak Ave"/>
    <d v="2021-07-31T00:00:00"/>
    <s v="MedCare Plus"/>
    <s v="INS368799"/>
    <s v="michael.taylor@mail.com"/>
    <s v="Michael Taylor"/>
    <n v="39"/>
    <x v="1"/>
  </r>
  <r>
    <s v="P047"/>
    <s v="Jane"/>
    <s v="Moore"/>
    <s v="M"/>
    <d v="1995-12-13T00:00:00"/>
    <n v="8715732851"/>
    <s v="321 Maple Dr"/>
    <d v="2022-05-20T00:00:00"/>
    <s v="WellnessCorp"/>
    <s v="INS337549"/>
    <s v="jane.moore@mail.com"/>
    <s v="Jane Moore"/>
    <n v="30"/>
    <x v="1"/>
  </r>
  <r>
    <s v="P048"/>
    <s v="Emily"/>
    <s v="Miller"/>
    <s v="M"/>
    <d v="1983-03-24T00:00:00"/>
    <n v="8720989381"/>
    <s v="123 Elm St"/>
    <d v="2023-06-19T00:00:00"/>
    <s v="PulseSecure"/>
    <s v="INS694319"/>
    <s v="emily.miller@mail.com"/>
    <s v="Emily Miller"/>
    <n v="43"/>
    <x v="1"/>
  </r>
  <r>
    <s v="P049"/>
    <s v="David"/>
    <s v="Moore"/>
    <s v="M"/>
    <d v="1972-11-26T00:00:00"/>
    <n v="7712937941"/>
    <s v="321 Maple Dr"/>
    <d v="2023-06-14T00:00:00"/>
    <s v="MedCare Plus"/>
    <s v="INS584299"/>
    <s v="david.moore@mail.com"/>
    <s v="David Moore"/>
    <n v="53"/>
    <x v="1"/>
  </r>
  <r>
    <s v="P050"/>
    <s v="Laura"/>
    <s v="Wilson"/>
    <s v="M"/>
    <d v="1993-12-27T00:00:00"/>
    <n v="8301134730"/>
    <s v="321 Maple Dr"/>
    <d v="2023-04-28T00:00:00"/>
    <s v="WellnessCorp"/>
    <s v="INS712210"/>
    <s v="laura.wilson@mail.com"/>
    <s v="Laura Wilson"/>
    <n v="3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49C72-5E14-4179-9F46-710CBBA15722}" name="PivotTable1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octor_name">
  <location ref="L1:M12" firstHeaderRow="1" firstDataRow="1" firstDataCol="1"/>
  <pivotFields count="11">
    <pivotField dataField="1" showAll="0"/>
    <pivotField showAll="0"/>
    <pivotField showAll="0"/>
    <pivotField numFmtId="14" showAll="0"/>
    <pivotField numFmtId="21" showAll="0"/>
    <pivotField showAll="0"/>
    <pivotField showAll="0"/>
    <pivotField showAll="0"/>
    <pivotField showAll="0"/>
    <pivotField showAll="0"/>
    <pivotField axis="axisRow" showAll="0" sortType="descending">
      <items count="11">
        <item x="2"/>
        <item x="1"/>
        <item x="8"/>
        <item x="6"/>
        <item x="3"/>
        <item x="7"/>
        <item x="5"/>
        <item x="4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9"/>
    </i>
    <i>
      <x v="2"/>
    </i>
    <i>
      <x/>
    </i>
    <i>
      <x v="4"/>
    </i>
    <i>
      <x v="3"/>
    </i>
    <i>
      <x v="6"/>
    </i>
    <i>
      <x v="8"/>
    </i>
    <i>
      <x v="5"/>
    </i>
    <i>
      <x v="1"/>
    </i>
    <i>
      <x v="7"/>
    </i>
    <i t="grand">
      <x/>
    </i>
  </rowItems>
  <colItems count="1">
    <i/>
  </colItems>
  <dataFields count="1">
    <dataField name="Count of appointm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9568F-F6C0-444E-94FF-D5026D627AF9}" name="PivotTable1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8:I21" firstHeaderRow="1" firstDataRow="1" firstDataCol="1"/>
  <pivotFields count="11">
    <pivotField dataField="1" showAll="0"/>
    <pivotField showAll="0"/>
    <pivotField showAll="0"/>
    <pivotField numFmtId="14" showAll="0"/>
    <pivotField numFmtId="21" showAll="0"/>
    <pivotField showAll="0"/>
    <pivotField showAll="0"/>
    <pivotField axis="axisRow" showAll="0">
      <items count="13">
        <item x="7"/>
        <item x="9"/>
        <item x="6"/>
        <item x="4"/>
        <item x="5"/>
        <item x="1"/>
        <item x="3"/>
        <item x="0"/>
        <item x="2"/>
        <item x="11"/>
        <item x="8"/>
        <item x="10"/>
        <item t="default"/>
      </items>
    </pivotField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ppointm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FAB13-19C5-42B3-99F4-EBEB0615387C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_method">
  <location ref="H1:I5" firstHeaderRow="1" firstDataRow="1" firstDataCol="1"/>
  <pivotFields count="8">
    <pivotField showAll="0"/>
    <pivotField showAll="0"/>
    <pivotField showAll="0"/>
    <pivotField numFmtId="14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4" baseField="0" baseItem="0" numFmtId="3"/>
  </dataFields>
  <formats count="2">
    <format dxfId="5">
      <pivotArea collapsedLevelsAreSubtotals="1" fieldPosition="0">
        <references count="1">
          <reference field="5" count="1">
            <x v="0"/>
          </reference>
        </references>
      </pivotArea>
    </format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87CB2-A884-450B-8A81-EFAB1FAFD2CB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_Group">
  <location ref="A16:B19" firstHeaderRow="1" firstDataRow="1" firstDataCol="1"/>
  <pivotFields count="14">
    <pivotField dataField="1" showAll="0"/>
    <pivotField showAll="0"/>
    <pivotField showAll="0"/>
    <pivotField showAll="0"/>
    <pivotField numFmtId="14" showAll="0"/>
    <pivotField numFmtId="49"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FC46C-24AA-4F30-9E0C-509C8D4AA7EE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atus">
  <location ref="A8:B13" firstHeaderRow="1" firstDataRow="1" firstDataCol="1"/>
  <pivotFields count="11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numFmtId="14" showAll="0"/>
    <pivotField numFmtId="2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08CFF-C970-474F-B639-930F5A37A9AA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ayment Status">
  <location ref="A1:B5" firstHeaderRow="1" firstDataRow="1" firstDataCol="1"/>
  <pivotFields count="8">
    <pivotField showAll="0"/>
    <pivotField showAll="0"/>
    <pivotField showAll="0"/>
    <pivotField numFmtId="14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4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CE4F35-68D1-4DE7-A45B-B8D9DD1C282C}" name="tblPatients" displayName="tblPatients" ref="A1:N51" totalsRowShown="0">
  <autoFilter ref="A1:N51" xr:uid="{C7CE4F35-68D1-4DE7-A45B-B8D9DD1C282C}"/>
  <tableColumns count="14">
    <tableColumn id="1" xr3:uid="{840571A4-5247-4F4A-8AB8-7F76247A6544}" name="patient_id"/>
    <tableColumn id="2" xr3:uid="{F82C169B-CA97-49F3-BF54-3A14237F0A54}" name="first_name"/>
    <tableColumn id="3" xr3:uid="{AC1E163D-AC2C-417E-8FA2-AF400F7DF7EB}" name="last_name"/>
    <tableColumn id="4" xr3:uid="{ED155D84-0700-4407-AA8E-68B6C92AF5F3}" name="gender"/>
    <tableColumn id="5" xr3:uid="{63980594-14C8-42A8-BB43-AEF5639A5159}" name="date_of_birth" dataDxfId="18"/>
    <tableColumn id="6" xr3:uid="{9BAFC7E3-1CDC-46F2-ABEA-90AF5D38DDC5}" name="contact_number" dataDxfId="17"/>
    <tableColumn id="7" xr3:uid="{B0CA5891-118F-4D45-9114-3CD050E7FA27}" name="address"/>
    <tableColumn id="8" xr3:uid="{BA445079-B3E2-4ECC-B01C-CFEE2928E46F}" name="registration_date" dataDxfId="16"/>
    <tableColumn id="9" xr3:uid="{C260C34D-AF7B-4E57-94E6-81B9038746D1}" name="insurance_provider"/>
    <tableColumn id="10" xr3:uid="{3FFC02B3-2A49-4443-B9A5-FD505754E335}" name="insurance_number"/>
    <tableColumn id="11" xr3:uid="{45A270AB-5630-4718-B15A-20B8405369D9}" name="email"/>
    <tableColumn id="12" xr3:uid="{AC6B47C2-40A5-4CDB-9789-AE0569191EA0}" name="Full_name" dataDxfId="14">
      <calculatedColumnFormula>tblPatients[[#This Row],[first_name]] &amp; " " &amp; tblPatients[[#This Row],[last_name]]</calculatedColumnFormula>
    </tableColumn>
    <tableColumn id="13" xr3:uid="{79D84839-8A33-4778-83C0-60DCB7026DD5}" name="Age" dataDxfId="10">
      <calculatedColumnFormula>DATEDIF(tblPatients[[#This Row],[date_of_birth]],TODAY(),"Y")</calculatedColumnFormula>
    </tableColumn>
    <tableColumn id="14" xr3:uid="{CFAD01AE-EE3C-42C5-8379-27E36CD2A7AF}" name="Age_Group" dataDxfId="9">
      <calculatedColumnFormula>IF(tblPatients[[#This Row],[Age]]&lt;18,"Child",IF(tblPatients[[#This Row],[Age]]&lt;60,"Adult","Senior"))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4AA737-1C00-4C2E-8896-70024DDF707A}" name="tblDoctors" displayName="tblDoctors" ref="A1:I11" totalsRowShown="0">
  <autoFilter ref="A1:I11" xr:uid="{274AA737-1C00-4C2E-8896-70024DDF707A}"/>
  <tableColumns count="9">
    <tableColumn id="1" xr3:uid="{B05FCE7B-47A2-4AFC-ACBA-50F85FF12D37}" name="doctor_id"/>
    <tableColumn id="2" xr3:uid="{ADB77BF2-1AE0-429A-B6CC-8A7A30881FDA}" name="first_name"/>
    <tableColumn id="3" xr3:uid="{CD8A2DEB-6C52-4247-98D4-CD4304AF008D}" name="last_name"/>
    <tableColumn id="4" xr3:uid="{E4A20452-2FA6-40A2-BBEE-0C94E325CE30}" name="specialization"/>
    <tableColumn id="5" xr3:uid="{C8A249D2-EF1A-43EB-A30A-3C8587FC3688}" name="phone_number"/>
    <tableColumn id="6" xr3:uid="{05195BA4-6942-4872-8818-9E386D24C118}" name="years_experience"/>
    <tableColumn id="7" xr3:uid="{256ECD28-3072-4E3C-A67D-BBFB22A79141}" name="hospital_branch"/>
    <tableColumn id="8" xr3:uid="{0E39D832-67D0-443D-A340-B29596FB4A87}" name="email"/>
    <tableColumn id="9" xr3:uid="{9D5D0B3E-72E5-4DF7-A774-A0D42FAEABD3}" name="Full_name" dataDxfId="7">
      <calculatedColumnFormula>tblDoctors[[#This Row],[first_name]] &amp; " " &amp; tblDoctors[[#This Row],[last_name]]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112152-4D5F-4351-911B-F16CC50DEF03}" name="tblAppointments" displayName="tblAppointments" ref="A1:K201" totalsRowShown="0">
  <autoFilter ref="A1:K201" xr:uid="{CF112152-4D5F-4351-911B-F16CC50DEF03}"/>
  <tableColumns count="11">
    <tableColumn id="1" xr3:uid="{CB5BA87D-72A5-445D-8ED9-C83D1CD53797}" name="appointment_id"/>
    <tableColumn id="2" xr3:uid="{52DC90D0-7D12-4150-BC46-CA3AEC8D94ED}" name="patient_id"/>
    <tableColumn id="3" xr3:uid="{EC389608-5F38-44EF-989A-47AA3B855858}" name="doctor_id"/>
    <tableColumn id="4" xr3:uid="{4EA17A06-6CA8-4494-9257-9B199D1417ED}" name="appointment_date"/>
    <tableColumn id="5" xr3:uid="{5429DFCE-7B9D-4407-A465-2F4A3DFBA8B1}" name="appointment_time"/>
    <tableColumn id="6" xr3:uid="{961D126D-D25B-4850-B87A-36C25CC4511A}" name="reason_for_visit"/>
    <tableColumn id="7" xr3:uid="{49A0AA95-9C85-4D3E-898B-B45A12D1835C}" name="status"/>
    <tableColumn id="16385" xr3:uid="{EFFE5E48-E1F2-4D61-B22F-86B5916F56D2}" name="Appointment_month" dataDxfId="12">
      <calculatedColumnFormula>TEXT(tblAppointments[[#This Row],[appointment_date]], "MMMM")</calculatedColumnFormula>
    </tableColumn>
    <tableColumn id="16386" xr3:uid="{0329F7E4-1B1C-4CF0-990C-6F36420F20DF}" name="Appointment_year" dataDxfId="11">
      <calculatedColumnFormula>YEAR(tblAppointments[[#This Row],[appointment_date]])</calculatedColumnFormula>
    </tableColumn>
    <tableColumn id="16388" xr3:uid="{B1F4F8C8-8133-435C-980E-96CB5F616F7A}" name="Patient_Name" dataDxfId="8">
      <calculatedColumnFormula>VLOOKUP(tblAppointments[[#This Row],[patient_id]],tblPatients[[patient_id]:[Age_Group]],12,FALSE)</calculatedColumnFormula>
    </tableColumn>
    <tableColumn id="16390" xr3:uid="{36D5B023-F958-4F1D-A9B3-BC469ABE2D89}" name="Doctor_Name" dataDxfId="6">
      <calculatedColumnFormula>VLOOKUP(tblAppointments[[#This Row],[doctor_id]],tblDoctors[[doctor_id]:[Full_name]],9,FALSE)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65786A-2266-40EB-A4A6-DC396A76B10A}" name="tblTreatments" displayName="tblTreatments" ref="A1:F201" totalsRowShown="0">
  <autoFilter ref="A1:F201" xr:uid="{0065786A-2266-40EB-A4A6-DC396A76B10A}"/>
  <tableColumns count="6">
    <tableColumn id="1" xr3:uid="{191E4A34-66AD-47FD-BB25-EA10CB6EF8B1}" name="treatment_id"/>
    <tableColumn id="2" xr3:uid="{9E7431E1-1047-4583-85D9-68BADE316AEB}" name="appointment_id"/>
    <tableColumn id="3" xr3:uid="{119A66B8-2EBA-4C05-9E2F-A24138868518}" name="treatment_type"/>
    <tableColumn id="4" xr3:uid="{0282B660-9BB6-4C0D-A9D3-AF2C278E9732}" name="description"/>
    <tableColumn id="5" xr3:uid="{19E04FE3-4768-482F-B115-38AFADD0C095}" name="cost"/>
    <tableColumn id="6" xr3:uid="{3BE9860F-9B95-4730-8C5E-B6BE4D1608BE}" name="treatment_date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2DCDFE-25A9-4034-A46E-72C0449F947F}" name="tblBilling" displayName="tblBilling" ref="A1:H201" totalsRowShown="0">
  <autoFilter ref="A1:H201" xr:uid="{422DCDFE-25A9-4034-A46E-72C0449F947F}"/>
  <tableColumns count="8">
    <tableColumn id="1" xr3:uid="{B735612A-7DB0-49FA-BBE8-73641FA09AE9}" name="bill_id"/>
    <tableColumn id="2" xr3:uid="{578B4083-87F3-417D-9EC7-3EFDE8739304}" name="patient_id"/>
    <tableColumn id="3" xr3:uid="{2EEB421E-723C-4450-9D12-2860B038D89C}" name="treatment_id"/>
    <tableColumn id="4" xr3:uid="{5ABF7A67-172E-4DD1-ACF3-81EACCEDA3FC}" name="bill_date"/>
    <tableColumn id="5" xr3:uid="{22465DB8-2C7D-41A9-9044-941DB0B5A20F}" name="amount"/>
    <tableColumn id="6" xr3:uid="{4853C399-A328-46C6-8FB3-1B3035EE610C}" name="payment_method"/>
    <tableColumn id="7" xr3:uid="{910DAD09-6E78-4E88-B035-C234EF1DFF54}" name="payment_status"/>
    <tableColumn id="16385" xr3:uid="{D95FA30C-6610-4606-B672-6CB73636D958}" name="Revenue_category" dataDxfId="13">
      <calculatedColumnFormula>IF(tblBilling[[#This Row],[amount]]&gt;3000, "High Revenue","Normal")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C12F-0656-49D6-A47C-EF57054C689B}">
  <dimension ref="A1:N51"/>
  <sheetViews>
    <sheetView topLeftCell="F1" workbookViewId="0">
      <selection activeCell="N4" sqref="N4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  <col min="4" max="4" width="8.6328125" customWidth="1"/>
    <col min="5" max="5" width="14.453125" customWidth="1"/>
    <col min="6" max="6" width="16.7265625" style="3" customWidth="1"/>
    <col min="7" max="7" width="12" bestFit="1" customWidth="1"/>
    <col min="8" max="8" width="17.36328125" customWidth="1"/>
    <col min="9" max="9" width="19" customWidth="1"/>
    <col min="10" max="10" width="18.54296875" customWidth="1"/>
    <col min="11" max="11" width="24.26953125" bestFit="1" customWidth="1"/>
    <col min="12" max="12" width="14.1796875" customWidth="1"/>
    <col min="14" max="14" width="12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849</v>
      </c>
      <c r="M1" t="s">
        <v>853</v>
      </c>
      <c r="N1" t="s">
        <v>854</v>
      </c>
    </row>
    <row r="2" spans="1:14" x14ac:dyDescent="0.35">
      <c r="A2" t="s">
        <v>11</v>
      </c>
      <c r="B2" t="s">
        <v>12</v>
      </c>
      <c r="C2" t="s">
        <v>13</v>
      </c>
      <c r="D2" t="s">
        <v>14</v>
      </c>
      <c r="E2" s="1">
        <v>20244</v>
      </c>
      <c r="F2" s="3">
        <v>6939585183</v>
      </c>
      <c r="G2" t="s">
        <v>15</v>
      </c>
      <c r="H2" s="1">
        <v>44735</v>
      </c>
      <c r="I2" t="s">
        <v>16</v>
      </c>
      <c r="J2" t="s">
        <v>17</v>
      </c>
      <c r="K2" t="s">
        <v>18</v>
      </c>
      <c r="L2" t="str">
        <f>tblPatients[[#This Row],[first_name]] &amp; " " &amp; tblPatients[[#This Row],[last_name]]</f>
        <v>David Williams</v>
      </c>
      <c r="M2">
        <f ca="1">DATEDIF(tblPatients[[#This Row],[date_of_birth]],TODAY(),"Y")</f>
        <v>70</v>
      </c>
      <c r="N2" t="str">
        <f ca="1">IF(tblPatients[[#This Row],[Age]]&lt;18,"Child",IF(tblPatients[[#This Row],[Age]]&lt;60,"Adult","Senior"))</f>
        <v>Senior</v>
      </c>
    </row>
    <row r="3" spans="1:14" x14ac:dyDescent="0.35">
      <c r="A3" t="s">
        <v>19</v>
      </c>
      <c r="B3" t="s">
        <v>20</v>
      </c>
      <c r="C3" t="s">
        <v>21</v>
      </c>
      <c r="D3" t="s">
        <v>14</v>
      </c>
      <c r="E3" s="1">
        <v>30967</v>
      </c>
      <c r="F3" s="3">
        <v>8228188767</v>
      </c>
      <c r="G3" t="s">
        <v>22</v>
      </c>
      <c r="H3" s="1">
        <v>44576</v>
      </c>
      <c r="I3" t="s">
        <v>23</v>
      </c>
      <c r="J3" t="s">
        <v>24</v>
      </c>
      <c r="K3" t="s">
        <v>25</v>
      </c>
      <c r="L3" t="str">
        <f>tblPatients[[#This Row],[first_name]] &amp; " " &amp; tblPatients[[#This Row],[last_name]]</f>
        <v>Emily Smith</v>
      </c>
      <c r="M3">
        <f ca="1">DATEDIF(tblPatients[[#This Row],[date_of_birth]],TODAY(),"Y")</f>
        <v>41</v>
      </c>
      <c r="N3" t="str">
        <f ca="1">IF(tblPatients[[#This Row],[Age]]&lt;18,"Child",IF(tblPatients[[#This Row],[Age]]&lt;60,"Adult","Senior"))</f>
        <v>Adult</v>
      </c>
    </row>
    <row r="4" spans="1:14" x14ac:dyDescent="0.35">
      <c r="A4" t="s">
        <v>26</v>
      </c>
      <c r="B4" t="s">
        <v>27</v>
      </c>
      <c r="C4" t="s">
        <v>28</v>
      </c>
      <c r="D4" t="s">
        <v>29</v>
      </c>
      <c r="E4" s="1">
        <v>28358</v>
      </c>
      <c r="F4" s="3">
        <v>8397029847</v>
      </c>
      <c r="G4" t="s">
        <v>22</v>
      </c>
      <c r="H4" s="1">
        <v>44599</v>
      </c>
      <c r="I4" t="s">
        <v>23</v>
      </c>
      <c r="J4" t="s">
        <v>30</v>
      </c>
      <c r="K4" t="s">
        <v>31</v>
      </c>
      <c r="L4" t="str">
        <f>tblPatients[[#This Row],[first_name]] &amp; " " &amp; tblPatients[[#This Row],[last_name]]</f>
        <v>Laura Jones</v>
      </c>
      <c r="M4">
        <f ca="1">DATEDIF(tblPatients[[#This Row],[date_of_birth]],TODAY(),"Y")</f>
        <v>48</v>
      </c>
      <c r="N4" t="str">
        <f ca="1">IF(tblPatients[[#This Row],[Age]]&lt;18,"Child",IF(tblPatients[[#This Row],[Age]]&lt;60,"Adult","Senior"))</f>
        <v>Adult</v>
      </c>
    </row>
    <row r="5" spans="1:14" x14ac:dyDescent="0.35">
      <c r="A5" t="s">
        <v>32</v>
      </c>
      <c r="B5" t="s">
        <v>33</v>
      </c>
      <c r="C5" t="s">
        <v>34</v>
      </c>
      <c r="D5" t="s">
        <v>14</v>
      </c>
      <c r="E5" s="1">
        <v>29637</v>
      </c>
      <c r="F5" s="3">
        <v>9019443432</v>
      </c>
      <c r="G5" t="s">
        <v>35</v>
      </c>
      <c r="H5" s="1">
        <v>44257</v>
      </c>
      <c r="I5" t="s">
        <v>36</v>
      </c>
      <c r="J5" t="s">
        <v>37</v>
      </c>
      <c r="K5" t="s">
        <v>38</v>
      </c>
      <c r="L5" t="str">
        <f>tblPatients[[#This Row],[first_name]] &amp; " " &amp; tblPatients[[#This Row],[last_name]]</f>
        <v>Michael Johnson</v>
      </c>
      <c r="M5">
        <f ca="1">DATEDIF(tblPatients[[#This Row],[date_of_birth]],TODAY(),"Y")</f>
        <v>45</v>
      </c>
      <c r="N5" t="str">
        <f ca="1">IF(tblPatients[[#This Row],[Age]]&lt;18,"Child",IF(tblPatients[[#This Row],[Age]]&lt;60,"Adult","Senior"))</f>
        <v>Adult</v>
      </c>
    </row>
    <row r="6" spans="1:14" x14ac:dyDescent="0.35">
      <c r="A6" t="s">
        <v>39</v>
      </c>
      <c r="B6" t="s">
        <v>12</v>
      </c>
      <c r="C6" t="s">
        <v>40</v>
      </c>
      <c r="D6" t="s">
        <v>29</v>
      </c>
      <c r="E6" s="1">
        <v>22090</v>
      </c>
      <c r="F6" s="3">
        <v>7734463155</v>
      </c>
      <c r="G6" t="s">
        <v>35</v>
      </c>
      <c r="H6" s="1">
        <v>44468</v>
      </c>
      <c r="I6" t="s">
        <v>41</v>
      </c>
      <c r="J6" t="s">
        <v>42</v>
      </c>
      <c r="K6" t="s">
        <v>43</v>
      </c>
      <c r="L6" t="str">
        <f>tblPatients[[#This Row],[first_name]] &amp; " " &amp; tblPatients[[#This Row],[last_name]]</f>
        <v>David Wilson</v>
      </c>
      <c r="M6">
        <f ca="1">DATEDIF(tblPatients[[#This Row],[date_of_birth]],TODAY(),"Y")</f>
        <v>65</v>
      </c>
      <c r="N6" t="str">
        <f ca="1">IF(tblPatients[[#This Row],[Age]]&lt;18,"Child",IF(tblPatients[[#This Row],[Age]]&lt;60,"Adult","Senior"))</f>
        <v>Senior</v>
      </c>
    </row>
    <row r="7" spans="1:14" x14ac:dyDescent="0.35">
      <c r="A7" t="s">
        <v>44</v>
      </c>
      <c r="B7" t="s">
        <v>45</v>
      </c>
      <c r="C7" t="s">
        <v>28</v>
      </c>
      <c r="D7" t="s">
        <v>29</v>
      </c>
      <c r="E7" s="1">
        <v>23178</v>
      </c>
      <c r="F7" s="3">
        <v>7561777264</v>
      </c>
      <c r="G7" t="s">
        <v>22</v>
      </c>
      <c r="H7" s="1">
        <v>44836</v>
      </c>
      <c r="I7" t="s">
        <v>36</v>
      </c>
      <c r="J7" t="s">
        <v>46</v>
      </c>
      <c r="K7" t="s">
        <v>47</v>
      </c>
      <c r="L7" t="str">
        <f>tblPatients[[#This Row],[first_name]] &amp; " " &amp; tblPatients[[#This Row],[last_name]]</f>
        <v>Linda Jones</v>
      </c>
      <c r="M7">
        <f ca="1">DATEDIF(tblPatients[[#This Row],[date_of_birth]],TODAY(),"Y")</f>
        <v>62</v>
      </c>
      <c r="N7" t="str">
        <f ca="1">IF(tblPatients[[#This Row],[Age]]&lt;18,"Child",IF(tblPatients[[#This Row],[Age]]&lt;60,"Adult","Senior"))</f>
        <v>Senior</v>
      </c>
    </row>
    <row r="8" spans="1:14" x14ac:dyDescent="0.35">
      <c r="A8" t="s">
        <v>48</v>
      </c>
      <c r="B8" t="s">
        <v>49</v>
      </c>
      <c r="C8" t="s">
        <v>34</v>
      </c>
      <c r="D8" t="s">
        <v>14</v>
      </c>
      <c r="E8" s="1">
        <v>32667</v>
      </c>
      <c r="F8" s="3">
        <v>6278710077</v>
      </c>
      <c r="G8" t="s">
        <v>15</v>
      </c>
      <c r="H8" s="1">
        <v>44555</v>
      </c>
      <c r="I8" t="s">
        <v>41</v>
      </c>
      <c r="J8" t="s">
        <v>50</v>
      </c>
      <c r="K8" t="s">
        <v>51</v>
      </c>
      <c r="L8" t="str">
        <f>tblPatients[[#This Row],[first_name]] &amp; " " &amp; tblPatients[[#This Row],[last_name]]</f>
        <v>Alex Johnson</v>
      </c>
      <c r="M8">
        <f ca="1">DATEDIF(tblPatients[[#This Row],[date_of_birth]],TODAY(),"Y")</f>
        <v>36</v>
      </c>
      <c r="N8" t="str">
        <f ca="1">IF(tblPatients[[#This Row],[Age]]&lt;18,"Child",IF(tblPatients[[#This Row],[Age]]&lt;60,"Adult","Senior"))</f>
        <v>Adult</v>
      </c>
    </row>
    <row r="9" spans="1:14" x14ac:dyDescent="0.35">
      <c r="A9" t="s">
        <v>52</v>
      </c>
      <c r="B9" t="s">
        <v>12</v>
      </c>
      <c r="C9" t="s">
        <v>53</v>
      </c>
      <c r="D9" t="s">
        <v>14</v>
      </c>
      <c r="E9" s="1">
        <v>27946</v>
      </c>
      <c r="F9" s="3">
        <v>7090558393</v>
      </c>
      <c r="G9" t="s">
        <v>54</v>
      </c>
      <c r="H9" s="1">
        <v>44341</v>
      </c>
      <c r="I9" t="s">
        <v>16</v>
      </c>
      <c r="J9" t="s">
        <v>55</v>
      </c>
      <c r="K9" t="s">
        <v>56</v>
      </c>
      <c r="L9" t="str">
        <f>tblPatients[[#This Row],[first_name]] &amp; " " &amp; tblPatients[[#This Row],[last_name]]</f>
        <v>David Davis</v>
      </c>
      <c r="M9">
        <f ca="1">DATEDIF(tblPatients[[#This Row],[date_of_birth]],TODAY(),"Y")</f>
        <v>49</v>
      </c>
      <c r="N9" t="str">
        <f ca="1">IF(tblPatients[[#This Row],[Age]]&lt;18,"Child",IF(tblPatients[[#This Row],[Age]]&lt;60,"Adult","Senior"))</f>
        <v>Adult</v>
      </c>
    </row>
    <row r="10" spans="1:14" x14ac:dyDescent="0.35">
      <c r="A10" t="s">
        <v>57</v>
      </c>
      <c r="B10" t="s">
        <v>27</v>
      </c>
      <c r="C10" t="s">
        <v>53</v>
      </c>
      <c r="D10" t="s">
        <v>29</v>
      </c>
      <c r="E10" s="1">
        <v>26278</v>
      </c>
      <c r="F10" s="3">
        <v>7060324619</v>
      </c>
      <c r="G10" t="s">
        <v>22</v>
      </c>
      <c r="H10" s="1">
        <v>44822</v>
      </c>
      <c r="I10" t="s">
        <v>23</v>
      </c>
      <c r="J10" t="s">
        <v>58</v>
      </c>
      <c r="K10" t="s">
        <v>59</v>
      </c>
      <c r="L10" t="str">
        <f>tblPatients[[#This Row],[first_name]] &amp; " " &amp; tblPatients[[#This Row],[last_name]]</f>
        <v>Laura Davis</v>
      </c>
      <c r="M10">
        <f ca="1">DATEDIF(tblPatients[[#This Row],[date_of_birth]],TODAY(),"Y")</f>
        <v>54</v>
      </c>
      <c r="N10" t="str">
        <f ca="1">IF(tblPatients[[#This Row],[Age]]&lt;18,"Child",IF(tblPatients[[#This Row],[Age]]&lt;60,"Adult","Senior"))</f>
        <v>Adult</v>
      </c>
    </row>
    <row r="11" spans="1:14" x14ac:dyDescent="0.35">
      <c r="A11" t="s">
        <v>60</v>
      </c>
      <c r="B11" t="s">
        <v>33</v>
      </c>
      <c r="C11" t="s">
        <v>61</v>
      </c>
      <c r="D11" t="s">
        <v>29</v>
      </c>
      <c r="E11" s="1">
        <v>37177</v>
      </c>
      <c r="F11" s="3">
        <v>7081396733</v>
      </c>
      <c r="G11" t="s">
        <v>35</v>
      </c>
      <c r="H11" s="1">
        <v>44797</v>
      </c>
      <c r="I11" t="s">
        <v>16</v>
      </c>
      <c r="J11" t="s">
        <v>62</v>
      </c>
      <c r="K11" t="s">
        <v>63</v>
      </c>
      <c r="L11" t="str">
        <f>tblPatients[[#This Row],[first_name]] &amp; " " &amp; tblPatients[[#This Row],[last_name]]</f>
        <v>Michael Taylor</v>
      </c>
      <c r="M11">
        <f ca="1">DATEDIF(tblPatients[[#This Row],[date_of_birth]],TODAY(),"Y")</f>
        <v>24</v>
      </c>
      <c r="N11" t="str">
        <f ca="1">IF(tblPatients[[#This Row],[Age]]&lt;18,"Child",IF(tblPatients[[#This Row],[Age]]&lt;60,"Adult","Senior"))</f>
        <v>Adult</v>
      </c>
    </row>
    <row r="12" spans="1:14" x14ac:dyDescent="0.35">
      <c r="A12" t="s">
        <v>64</v>
      </c>
      <c r="B12" t="s">
        <v>20</v>
      </c>
      <c r="C12" t="s">
        <v>28</v>
      </c>
      <c r="D12" t="s">
        <v>14</v>
      </c>
      <c r="E12" s="1">
        <v>24445</v>
      </c>
      <c r="F12" s="3">
        <v>8990604070</v>
      </c>
      <c r="G12" t="s">
        <v>15</v>
      </c>
      <c r="H12" s="1">
        <v>44831</v>
      </c>
      <c r="I12" t="s">
        <v>41</v>
      </c>
      <c r="J12" t="s">
        <v>65</v>
      </c>
      <c r="K12" t="s">
        <v>66</v>
      </c>
      <c r="L12" t="str">
        <f>tblPatients[[#This Row],[first_name]] &amp; " " &amp; tblPatients[[#This Row],[last_name]]</f>
        <v>Emily Jones</v>
      </c>
      <c r="M12">
        <f ca="1">DATEDIF(tblPatients[[#This Row],[date_of_birth]],TODAY(),"Y")</f>
        <v>59</v>
      </c>
      <c r="N12" t="str">
        <f ca="1">IF(tblPatients[[#This Row],[Age]]&lt;18,"Child",IF(tblPatients[[#This Row],[Age]]&lt;60,"Adult","Senior"))</f>
        <v>Adult</v>
      </c>
    </row>
    <row r="13" spans="1:14" x14ac:dyDescent="0.35">
      <c r="A13" t="s">
        <v>67</v>
      </c>
      <c r="B13" t="s">
        <v>27</v>
      </c>
      <c r="C13" t="s">
        <v>53</v>
      </c>
      <c r="D13" t="s">
        <v>14</v>
      </c>
      <c r="E13" s="1">
        <v>33580</v>
      </c>
      <c r="F13" s="3">
        <v>8135666049</v>
      </c>
      <c r="G13" t="s">
        <v>22</v>
      </c>
      <c r="H13" s="1">
        <v>45043</v>
      </c>
      <c r="I13" t="s">
        <v>41</v>
      </c>
      <c r="J13" t="s">
        <v>68</v>
      </c>
      <c r="K13" t="s">
        <v>59</v>
      </c>
      <c r="L13" t="str">
        <f>tblPatients[[#This Row],[first_name]] &amp; " " &amp; tblPatients[[#This Row],[last_name]]</f>
        <v>Laura Davis</v>
      </c>
      <c r="M13">
        <f ca="1">DATEDIF(tblPatients[[#This Row],[date_of_birth]],TODAY(),"Y")</f>
        <v>34</v>
      </c>
      <c r="N13" t="str">
        <f ca="1">IF(tblPatients[[#This Row],[Age]]&lt;18,"Child",IF(tblPatients[[#This Row],[Age]]&lt;60,"Adult","Senior"))</f>
        <v>Adult</v>
      </c>
    </row>
    <row r="14" spans="1:14" x14ac:dyDescent="0.35">
      <c r="A14" t="s">
        <v>69</v>
      </c>
      <c r="B14" t="s">
        <v>27</v>
      </c>
      <c r="C14" t="s">
        <v>34</v>
      </c>
      <c r="D14" t="s">
        <v>14</v>
      </c>
      <c r="E14" s="1">
        <v>32960</v>
      </c>
      <c r="F14" s="3">
        <v>9059178882</v>
      </c>
      <c r="G14" t="s">
        <v>22</v>
      </c>
      <c r="H14" s="1">
        <v>44553</v>
      </c>
      <c r="I14" t="s">
        <v>16</v>
      </c>
      <c r="J14" t="s">
        <v>70</v>
      </c>
      <c r="K14" t="s">
        <v>71</v>
      </c>
      <c r="L14" t="str">
        <f>tblPatients[[#This Row],[first_name]] &amp; " " &amp; tblPatients[[#This Row],[last_name]]</f>
        <v>Laura Johnson</v>
      </c>
      <c r="M14">
        <f ca="1">DATEDIF(tblPatients[[#This Row],[date_of_birth]],TODAY(),"Y")</f>
        <v>36</v>
      </c>
      <c r="N14" t="str">
        <f ca="1">IF(tblPatients[[#This Row],[Age]]&lt;18,"Child",IF(tblPatients[[#This Row],[Age]]&lt;60,"Adult","Senior"))</f>
        <v>Adult</v>
      </c>
    </row>
    <row r="15" spans="1:14" x14ac:dyDescent="0.35">
      <c r="A15" t="s">
        <v>72</v>
      </c>
      <c r="B15" t="s">
        <v>49</v>
      </c>
      <c r="C15" t="s">
        <v>61</v>
      </c>
      <c r="D15" t="s">
        <v>29</v>
      </c>
      <c r="E15" s="1">
        <v>24895</v>
      </c>
      <c r="F15" s="3">
        <v>7292262512</v>
      </c>
      <c r="G15" t="s">
        <v>15</v>
      </c>
      <c r="H15" s="1">
        <v>45272</v>
      </c>
      <c r="I15" t="s">
        <v>41</v>
      </c>
      <c r="J15" t="s">
        <v>73</v>
      </c>
      <c r="K15" t="s">
        <v>74</v>
      </c>
      <c r="L15" t="str">
        <f>tblPatients[[#This Row],[first_name]] &amp; " " &amp; tblPatients[[#This Row],[last_name]]</f>
        <v>Alex Taylor</v>
      </c>
      <c r="M15">
        <f ca="1">DATEDIF(tblPatients[[#This Row],[date_of_birth]],TODAY(),"Y")</f>
        <v>58</v>
      </c>
      <c r="N15" t="str">
        <f ca="1">IF(tblPatients[[#This Row],[Age]]&lt;18,"Child",IF(tblPatients[[#This Row],[Age]]&lt;60,"Adult","Senior"))</f>
        <v>Adult</v>
      </c>
    </row>
    <row r="16" spans="1:14" x14ac:dyDescent="0.35">
      <c r="A16" t="s">
        <v>75</v>
      </c>
      <c r="B16" t="s">
        <v>76</v>
      </c>
      <c r="C16" t="s">
        <v>34</v>
      </c>
      <c r="D16" t="s">
        <v>29</v>
      </c>
      <c r="E16" s="1">
        <v>23508</v>
      </c>
      <c r="F16" s="3">
        <v>6636028516</v>
      </c>
      <c r="G16" t="s">
        <v>22</v>
      </c>
      <c r="H16" s="1">
        <v>44464</v>
      </c>
      <c r="I16" t="s">
        <v>16</v>
      </c>
      <c r="J16" t="s">
        <v>77</v>
      </c>
      <c r="K16" t="s">
        <v>78</v>
      </c>
      <c r="L16" t="str">
        <f>tblPatients[[#This Row],[first_name]] &amp; " " &amp; tblPatients[[#This Row],[last_name]]</f>
        <v>Sarah Johnson</v>
      </c>
      <c r="M16">
        <f ca="1">DATEDIF(tblPatients[[#This Row],[date_of_birth]],TODAY(),"Y")</f>
        <v>62</v>
      </c>
      <c r="N16" t="str">
        <f ca="1">IF(tblPatients[[#This Row],[Age]]&lt;18,"Child",IF(tblPatients[[#This Row],[Age]]&lt;60,"Adult","Senior"))</f>
        <v>Senior</v>
      </c>
    </row>
    <row r="17" spans="1:14" x14ac:dyDescent="0.35">
      <c r="A17" t="s">
        <v>79</v>
      </c>
      <c r="B17" t="s">
        <v>33</v>
      </c>
      <c r="C17" t="s">
        <v>61</v>
      </c>
      <c r="D17" t="s">
        <v>29</v>
      </c>
      <c r="E17" s="1">
        <v>36729</v>
      </c>
      <c r="F17" s="3">
        <v>7223380592</v>
      </c>
      <c r="G17" t="s">
        <v>15</v>
      </c>
      <c r="H17" s="1">
        <v>44400</v>
      </c>
      <c r="I17" t="s">
        <v>23</v>
      </c>
      <c r="J17" t="s">
        <v>80</v>
      </c>
      <c r="K17" t="s">
        <v>63</v>
      </c>
      <c r="L17" t="str">
        <f>tblPatients[[#This Row],[first_name]] &amp; " " &amp; tblPatients[[#This Row],[last_name]]</f>
        <v>Michael Taylor</v>
      </c>
      <c r="M17">
        <f ca="1">DATEDIF(tblPatients[[#This Row],[date_of_birth]],TODAY(),"Y")</f>
        <v>25</v>
      </c>
      <c r="N17" t="str">
        <f ca="1">IF(tblPatients[[#This Row],[Age]]&lt;18,"Child",IF(tblPatients[[#This Row],[Age]]&lt;60,"Adult","Senior"))</f>
        <v>Adult</v>
      </c>
    </row>
    <row r="18" spans="1:14" x14ac:dyDescent="0.35">
      <c r="A18" t="s">
        <v>81</v>
      </c>
      <c r="B18" t="s">
        <v>82</v>
      </c>
      <c r="C18" t="s">
        <v>28</v>
      </c>
      <c r="D18" t="s">
        <v>29</v>
      </c>
      <c r="E18" s="1">
        <v>33359</v>
      </c>
      <c r="F18" s="3">
        <v>6158428240</v>
      </c>
      <c r="G18" t="s">
        <v>54</v>
      </c>
      <c r="H18" s="1">
        <v>44830</v>
      </c>
      <c r="I18" t="s">
        <v>16</v>
      </c>
      <c r="J18" t="s">
        <v>83</v>
      </c>
      <c r="K18" t="s">
        <v>84</v>
      </c>
      <c r="L18" t="str">
        <f>tblPatients[[#This Row],[first_name]] &amp; " " &amp; tblPatients[[#This Row],[last_name]]</f>
        <v>Jane Jones</v>
      </c>
      <c r="M18">
        <f ca="1">DATEDIF(tblPatients[[#This Row],[date_of_birth]],TODAY(),"Y")</f>
        <v>35</v>
      </c>
      <c r="N18" t="str">
        <f ca="1">IF(tblPatients[[#This Row],[Age]]&lt;18,"Child",IF(tblPatients[[#This Row],[Age]]&lt;60,"Adult","Senior"))</f>
        <v>Adult</v>
      </c>
    </row>
    <row r="19" spans="1:14" x14ac:dyDescent="0.35">
      <c r="A19" t="s">
        <v>85</v>
      </c>
      <c r="B19" t="s">
        <v>27</v>
      </c>
      <c r="C19" t="s">
        <v>40</v>
      </c>
      <c r="D19" t="s">
        <v>29</v>
      </c>
      <c r="E19" s="1">
        <v>29122</v>
      </c>
      <c r="F19" s="3">
        <v>7145815738</v>
      </c>
      <c r="G19" t="s">
        <v>15</v>
      </c>
      <c r="H19" s="1">
        <v>44827</v>
      </c>
      <c r="I19" t="s">
        <v>23</v>
      </c>
      <c r="J19" t="s">
        <v>86</v>
      </c>
      <c r="K19" t="s">
        <v>87</v>
      </c>
      <c r="L19" t="str">
        <f>tblPatients[[#This Row],[first_name]] &amp; " " &amp; tblPatients[[#This Row],[last_name]]</f>
        <v>Laura Wilson</v>
      </c>
      <c r="M19">
        <f ca="1">DATEDIF(tblPatients[[#This Row],[date_of_birth]],TODAY(),"Y")</f>
        <v>46</v>
      </c>
      <c r="N19" t="str">
        <f ca="1">IF(tblPatients[[#This Row],[Age]]&lt;18,"Child",IF(tblPatients[[#This Row],[Age]]&lt;60,"Adult","Senior"))</f>
        <v>Adult</v>
      </c>
    </row>
    <row r="20" spans="1:14" x14ac:dyDescent="0.35">
      <c r="A20" t="s">
        <v>88</v>
      </c>
      <c r="B20" t="s">
        <v>76</v>
      </c>
      <c r="C20" t="s">
        <v>89</v>
      </c>
      <c r="D20" t="s">
        <v>29</v>
      </c>
      <c r="E20" s="1">
        <v>27538</v>
      </c>
      <c r="F20" s="3">
        <v>8618058864</v>
      </c>
      <c r="G20" t="s">
        <v>15</v>
      </c>
      <c r="H20" s="1">
        <v>45101</v>
      </c>
      <c r="I20" t="s">
        <v>16</v>
      </c>
      <c r="J20" t="s">
        <v>90</v>
      </c>
      <c r="K20" t="s">
        <v>91</v>
      </c>
      <c r="L20" t="str">
        <f>tblPatients[[#This Row],[first_name]] &amp; " " &amp; tblPatients[[#This Row],[last_name]]</f>
        <v>Sarah Miller</v>
      </c>
      <c r="M20">
        <f ca="1">DATEDIF(tblPatients[[#This Row],[date_of_birth]],TODAY(),"Y")</f>
        <v>50</v>
      </c>
      <c r="N20" t="str">
        <f ca="1">IF(tblPatients[[#This Row],[Age]]&lt;18,"Child",IF(tblPatients[[#This Row],[Age]]&lt;60,"Adult","Senior"))</f>
        <v>Adult</v>
      </c>
    </row>
    <row r="21" spans="1:14" x14ac:dyDescent="0.35">
      <c r="A21" t="s">
        <v>92</v>
      </c>
      <c r="B21" t="s">
        <v>82</v>
      </c>
      <c r="C21" t="s">
        <v>93</v>
      </c>
      <c r="D21" t="s">
        <v>14</v>
      </c>
      <c r="E21" s="1">
        <v>37778</v>
      </c>
      <c r="F21" s="3">
        <v>8158989953</v>
      </c>
      <c r="G21" t="s">
        <v>15</v>
      </c>
      <c r="H21" s="1">
        <v>44654</v>
      </c>
      <c r="I21" t="s">
        <v>41</v>
      </c>
      <c r="J21" t="s">
        <v>94</v>
      </c>
      <c r="K21" t="s">
        <v>95</v>
      </c>
      <c r="L21" t="str">
        <f>tblPatients[[#This Row],[first_name]] &amp; " " &amp; tblPatients[[#This Row],[last_name]]</f>
        <v>Jane Moore</v>
      </c>
      <c r="M21">
        <f ca="1">DATEDIF(tblPatients[[#This Row],[date_of_birth]],TODAY(),"Y")</f>
        <v>22</v>
      </c>
      <c r="N21" t="str">
        <f ca="1">IF(tblPatients[[#This Row],[Age]]&lt;18,"Child",IF(tblPatients[[#This Row],[Age]]&lt;60,"Adult","Senior"))</f>
        <v>Adult</v>
      </c>
    </row>
    <row r="22" spans="1:14" x14ac:dyDescent="0.35">
      <c r="A22" t="s">
        <v>96</v>
      </c>
      <c r="B22" t="s">
        <v>33</v>
      </c>
      <c r="C22" t="s">
        <v>40</v>
      </c>
      <c r="D22" t="s">
        <v>29</v>
      </c>
      <c r="E22" s="1">
        <v>37316</v>
      </c>
      <c r="F22" s="3">
        <v>7765390555</v>
      </c>
      <c r="G22" t="s">
        <v>22</v>
      </c>
      <c r="H22" s="1">
        <v>44580</v>
      </c>
      <c r="I22" t="s">
        <v>16</v>
      </c>
      <c r="J22" t="s">
        <v>97</v>
      </c>
      <c r="K22" t="s">
        <v>98</v>
      </c>
      <c r="L22" t="str">
        <f>tblPatients[[#This Row],[first_name]] &amp; " " &amp; tblPatients[[#This Row],[last_name]]</f>
        <v>Michael Wilson</v>
      </c>
      <c r="M22">
        <f ca="1">DATEDIF(tblPatients[[#This Row],[date_of_birth]],TODAY(),"Y")</f>
        <v>24</v>
      </c>
      <c r="N22" t="str">
        <f ca="1">IF(tblPatients[[#This Row],[Age]]&lt;18,"Child",IF(tblPatients[[#This Row],[Age]]&lt;60,"Adult","Senior"))</f>
        <v>Adult</v>
      </c>
    </row>
    <row r="23" spans="1:14" x14ac:dyDescent="0.35">
      <c r="A23" t="s">
        <v>99</v>
      </c>
      <c r="B23" t="s">
        <v>100</v>
      </c>
      <c r="C23" t="s">
        <v>101</v>
      </c>
      <c r="D23" t="s">
        <v>29</v>
      </c>
      <c r="E23" s="1">
        <v>20219</v>
      </c>
      <c r="F23" s="3">
        <v>6221099573</v>
      </c>
      <c r="G23" t="s">
        <v>22</v>
      </c>
      <c r="H23" s="1">
        <v>44327</v>
      </c>
      <c r="I23" t="s">
        <v>41</v>
      </c>
      <c r="J23" t="s">
        <v>102</v>
      </c>
      <c r="K23" t="s">
        <v>103</v>
      </c>
      <c r="L23" t="str">
        <f>tblPatients[[#This Row],[first_name]] &amp; " " &amp; tblPatients[[#This Row],[last_name]]</f>
        <v>John Brown</v>
      </c>
      <c r="M23">
        <f ca="1">DATEDIF(tblPatients[[#This Row],[date_of_birth]],TODAY(),"Y")</f>
        <v>71</v>
      </c>
      <c r="N23" t="str">
        <f ca="1">IF(tblPatients[[#This Row],[Age]]&lt;18,"Child",IF(tblPatients[[#This Row],[Age]]&lt;60,"Adult","Senior"))</f>
        <v>Senior</v>
      </c>
    </row>
    <row r="24" spans="1:14" x14ac:dyDescent="0.35">
      <c r="A24" t="s">
        <v>104</v>
      </c>
      <c r="B24" t="s">
        <v>45</v>
      </c>
      <c r="C24" t="s">
        <v>34</v>
      </c>
      <c r="D24" t="s">
        <v>29</v>
      </c>
      <c r="E24" s="1">
        <v>34387</v>
      </c>
      <c r="F24" s="3">
        <v>6141951830</v>
      </c>
      <c r="G24" t="s">
        <v>15</v>
      </c>
      <c r="H24" s="1">
        <v>44557</v>
      </c>
      <c r="I24" t="s">
        <v>16</v>
      </c>
      <c r="J24" t="s">
        <v>105</v>
      </c>
      <c r="K24" t="s">
        <v>106</v>
      </c>
      <c r="L24" t="str">
        <f>tblPatients[[#This Row],[first_name]] &amp; " " &amp; tblPatients[[#This Row],[last_name]]</f>
        <v>Linda Johnson</v>
      </c>
      <c r="M24">
        <f ca="1">DATEDIF(tblPatients[[#This Row],[date_of_birth]],TODAY(),"Y")</f>
        <v>32</v>
      </c>
      <c r="N24" t="str">
        <f ca="1">IF(tblPatients[[#This Row],[Age]]&lt;18,"Child",IF(tblPatients[[#This Row],[Age]]&lt;60,"Adult","Senior"))</f>
        <v>Adult</v>
      </c>
    </row>
    <row r="25" spans="1:14" x14ac:dyDescent="0.35">
      <c r="A25" t="s">
        <v>107</v>
      </c>
      <c r="B25" t="s">
        <v>76</v>
      </c>
      <c r="C25" t="s">
        <v>101</v>
      </c>
      <c r="D25" t="s">
        <v>14</v>
      </c>
      <c r="E25" s="1">
        <v>33546</v>
      </c>
      <c r="F25" s="3">
        <v>7196777444</v>
      </c>
      <c r="G25" t="s">
        <v>22</v>
      </c>
      <c r="H25" s="1">
        <v>44441</v>
      </c>
      <c r="I25" t="s">
        <v>16</v>
      </c>
      <c r="J25" t="s">
        <v>108</v>
      </c>
      <c r="K25" t="s">
        <v>109</v>
      </c>
      <c r="L25" t="str">
        <f>tblPatients[[#This Row],[first_name]] &amp; " " &amp; tblPatients[[#This Row],[last_name]]</f>
        <v>Sarah Brown</v>
      </c>
      <c r="M25">
        <f ca="1">DATEDIF(tblPatients[[#This Row],[date_of_birth]],TODAY(),"Y")</f>
        <v>34</v>
      </c>
      <c r="N25" t="str">
        <f ca="1">IF(tblPatients[[#This Row],[Age]]&lt;18,"Child",IF(tblPatients[[#This Row],[Age]]&lt;60,"Adult","Senior"))</f>
        <v>Adult</v>
      </c>
    </row>
    <row r="26" spans="1:14" x14ac:dyDescent="0.35">
      <c r="A26" t="s">
        <v>110</v>
      </c>
      <c r="B26" t="s">
        <v>111</v>
      </c>
      <c r="C26" t="s">
        <v>40</v>
      </c>
      <c r="D26" t="s">
        <v>29</v>
      </c>
      <c r="E26" s="1">
        <v>24333</v>
      </c>
      <c r="F26" s="3">
        <v>7482069727</v>
      </c>
      <c r="G26" t="s">
        <v>35</v>
      </c>
      <c r="H26" s="1">
        <v>44448</v>
      </c>
      <c r="I26" t="s">
        <v>36</v>
      </c>
      <c r="J26" t="s">
        <v>112</v>
      </c>
      <c r="K26" t="s">
        <v>113</v>
      </c>
      <c r="L26" t="str">
        <f>tblPatients[[#This Row],[first_name]] &amp; " " &amp; tblPatients[[#This Row],[last_name]]</f>
        <v>Robert Wilson</v>
      </c>
      <c r="M26">
        <f ca="1">DATEDIF(tblPatients[[#This Row],[date_of_birth]],TODAY(),"Y")</f>
        <v>59</v>
      </c>
      <c r="N26" t="str">
        <f ca="1">IF(tblPatients[[#This Row],[Age]]&lt;18,"Child",IF(tblPatients[[#This Row],[Age]]&lt;60,"Adult","Senior"))</f>
        <v>Adult</v>
      </c>
    </row>
    <row r="27" spans="1:14" x14ac:dyDescent="0.35">
      <c r="A27" t="s">
        <v>114</v>
      </c>
      <c r="B27" t="s">
        <v>100</v>
      </c>
      <c r="C27" t="s">
        <v>61</v>
      </c>
      <c r="D27" t="s">
        <v>29</v>
      </c>
      <c r="E27" s="1">
        <v>37953</v>
      </c>
      <c r="F27" s="3">
        <v>9900972256</v>
      </c>
      <c r="G27" t="s">
        <v>35</v>
      </c>
      <c r="H27" s="1">
        <v>44329</v>
      </c>
      <c r="I27" t="s">
        <v>41</v>
      </c>
      <c r="J27" t="s">
        <v>115</v>
      </c>
      <c r="K27" t="s">
        <v>116</v>
      </c>
      <c r="L27" t="str">
        <f>tblPatients[[#This Row],[first_name]] &amp; " " &amp; tblPatients[[#This Row],[last_name]]</f>
        <v>John Taylor</v>
      </c>
      <c r="M27">
        <f ca="1">DATEDIF(tblPatients[[#This Row],[date_of_birth]],TODAY(),"Y")</f>
        <v>22</v>
      </c>
      <c r="N27" t="str">
        <f ca="1">IF(tblPatients[[#This Row],[Age]]&lt;18,"Child",IF(tblPatients[[#This Row],[Age]]&lt;60,"Adult","Senior"))</f>
        <v>Adult</v>
      </c>
    </row>
    <row r="28" spans="1:14" x14ac:dyDescent="0.35">
      <c r="A28" t="s">
        <v>117</v>
      </c>
      <c r="B28" t="s">
        <v>45</v>
      </c>
      <c r="C28" t="s">
        <v>93</v>
      </c>
      <c r="D28" t="s">
        <v>14</v>
      </c>
      <c r="E28" s="1">
        <v>35975</v>
      </c>
      <c r="F28" s="3">
        <v>8724518272</v>
      </c>
      <c r="G28" t="s">
        <v>22</v>
      </c>
      <c r="H28" s="1">
        <v>44423</v>
      </c>
      <c r="I28" t="s">
        <v>36</v>
      </c>
      <c r="J28" t="s">
        <v>118</v>
      </c>
      <c r="K28" t="s">
        <v>119</v>
      </c>
      <c r="L28" t="str">
        <f>tblPatients[[#This Row],[first_name]] &amp; " " &amp; tblPatients[[#This Row],[last_name]]</f>
        <v>Linda Moore</v>
      </c>
      <c r="M28">
        <f ca="1">DATEDIF(tblPatients[[#This Row],[date_of_birth]],TODAY(),"Y")</f>
        <v>27</v>
      </c>
      <c r="N28" t="str">
        <f ca="1">IF(tblPatients[[#This Row],[Age]]&lt;18,"Child",IF(tblPatients[[#This Row],[Age]]&lt;60,"Adult","Senior"))</f>
        <v>Adult</v>
      </c>
    </row>
    <row r="29" spans="1:14" x14ac:dyDescent="0.35">
      <c r="A29" t="s">
        <v>120</v>
      </c>
      <c r="B29" t="s">
        <v>49</v>
      </c>
      <c r="C29" t="s">
        <v>93</v>
      </c>
      <c r="D29" t="s">
        <v>29</v>
      </c>
      <c r="E29" s="1">
        <v>34072</v>
      </c>
      <c r="F29" s="3">
        <v>7028910482</v>
      </c>
      <c r="G29" t="s">
        <v>22</v>
      </c>
      <c r="H29" s="1">
        <v>45066</v>
      </c>
      <c r="I29" t="s">
        <v>41</v>
      </c>
      <c r="J29" t="s">
        <v>121</v>
      </c>
      <c r="K29" t="s">
        <v>122</v>
      </c>
      <c r="L29" t="str">
        <f>tblPatients[[#This Row],[first_name]] &amp; " " &amp; tblPatients[[#This Row],[last_name]]</f>
        <v>Alex Moore</v>
      </c>
      <c r="M29">
        <f ca="1">DATEDIF(tblPatients[[#This Row],[date_of_birth]],TODAY(),"Y")</f>
        <v>33</v>
      </c>
      <c r="N29" t="str">
        <f ca="1">IF(tblPatients[[#This Row],[Age]]&lt;18,"Child",IF(tblPatients[[#This Row],[Age]]&lt;60,"Adult","Senior"))</f>
        <v>Adult</v>
      </c>
    </row>
    <row r="30" spans="1:14" x14ac:dyDescent="0.35">
      <c r="A30" t="s">
        <v>123</v>
      </c>
      <c r="B30" t="s">
        <v>12</v>
      </c>
      <c r="C30" t="s">
        <v>21</v>
      </c>
      <c r="D30" t="s">
        <v>29</v>
      </c>
      <c r="E30" s="1">
        <v>38487</v>
      </c>
      <c r="F30" s="3">
        <v>8923607677</v>
      </c>
      <c r="G30" t="s">
        <v>15</v>
      </c>
      <c r="H30" s="1">
        <v>45035</v>
      </c>
      <c r="I30" t="s">
        <v>36</v>
      </c>
      <c r="J30" t="s">
        <v>124</v>
      </c>
      <c r="K30" t="s">
        <v>125</v>
      </c>
      <c r="L30" t="str">
        <f>tblPatients[[#This Row],[first_name]] &amp; " " &amp; tblPatients[[#This Row],[last_name]]</f>
        <v>David Smith</v>
      </c>
      <c r="M30">
        <f ca="1">DATEDIF(tblPatients[[#This Row],[date_of_birth]],TODAY(),"Y")</f>
        <v>21</v>
      </c>
      <c r="N30" t="str">
        <f ca="1">IF(tblPatients[[#This Row],[Age]]&lt;18,"Child",IF(tblPatients[[#This Row],[Age]]&lt;60,"Adult","Senior"))</f>
        <v>Adult</v>
      </c>
    </row>
    <row r="31" spans="1:14" x14ac:dyDescent="0.35">
      <c r="A31" t="s">
        <v>126</v>
      </c>
      <c r="B31" t="s">
        <v>20</v>
      </c>
      <c r="C31" t="s">
        <v>93</v>
      </c>
      <c r="D31" t="s">
        <v>29</v>
      </c>
      <c r="E31" s="1">
        <v>23734</v>
      </c>
      <c r="F31" s="3">
        <v>6622318721</v>
      </c>
      <c r="G31" t="s">
        <v>54</v>
      </c>
      <c r="H31" s="1">
        <v>44415</v>
      </c>
      <c r="I31" t="s">
        <v>23</v>
      </c>
      <c r="J31" t="s">
        <v>127</v>
      </c>
      <c r="K31" t="s">
        <v>128</v>
      </c>
      <c r="L31" t="str">
        <f>tblPatients[[#This Row],[first_name]] &amp; " " &amp; tblPatients[[#This Row],[last_name]]</f>
        <v>Emily Moore</v>
      </c>
      <c r="M31">
        <f ca="1">DATEDIF(tblPatients[[#This Row],[date_of_birth]],TODAY(),"Y")</f>
        <v>61</v>
      </c>
      <c r="N31" t="str">
        <f ca="1">IF(tblPatients[[#This Row],[Age]]&lt;18,"Child",IF(tblPatients[[#This Row],[Age]]&lt;60,"Adult","Senior"))</f>
        <v>Senior</v>
      </c>
    </row>
    <row r="32" spans="1:14" x14ac:dyDescent="0.35">
      <c r="A32" t="s">
        <v>129</v>
      </c>
      <c r="B32" t="s">
        <v>111</v>
      </c>
      <c r="C32" t="s">
        <v>89</v>
      </c>
      <c r="D32" t="s">
        <v>29</v>
      </c>
      <c r="E32" s="1">
        <v>31791</v>
      </c>
      <c r="F32" s="3">
        <v>8280346676</v>
      </c>
      <c r="G32" t="s">
        <v>22</v>
      </c>
      <c r="H32" s="1">
        <v>44740</v>
      </c>
      <c r="I32" t="s">
        <v>16</v>
      </c>
      <c r="J32" t="s">
        <v>130</v>
      </c>
      <c r="K32" t="s">
        <v>131</v>
      </c>
      <c r="L32" t="str">
        <f>tblPatients[[#This Row],[first_name]] &amp; " " &amp; tblPatients[[#This Row],[last_name]]</f>
        <v>Robert Miller</v>
      </c>
      <c r="M32">
        <f ca="1">DATEDIF(tblPatients[[#This Row],[date_of_birth]],TODAY(),"Y")</f>
        <v>39</v>
      </c>
      <c r="N32" t="str">
        <f ca="1">IF(tblPatients[[#This Row],[Age]]&lt;18,"Child",IF(tblPatients[[#This Row],[Age]]&lt;60,"Adult","Senior"))</f>
        <v>Adult</v>
      </c>
    </row>
    <row r="33" spans="1:14" x14ac:dyDescent="0.35">
      <c r="A33" t="s">
        <v>132</v>
      </c>
      <c r="B33" t="s">
        <v>49</v>
      </c>
      <c r="C33" t="s">
        <v>93</v>
      </c>
      <c r="D33" t="s">
        <v>29</v>
      </c>
      <c r="E33" s="1">
        <v>29594</v>
      </c>
      <c r="F33" s="3">
        <v>8102183595</v>
      </c>
      <c r="G33" t="s">
        <v>35</v>
      </c>
      <c r="H33" s="1">
        <v>44471</v>
      </c>
      <c r="I33" t="s">
        <v>41</v>
      </c>
      <c r="J33" t="s">
        <v>133</v>
      </c>
      <c r="K33" t="s">
        <v>122</v>
      </c>
      <c r="L33" t="str">
        <f>tblPatients[[#This Row],[first_name]] &amp; " " &amp; tblPatients[[#This Row],[last_name]]</f>
        <v>Alex Moore</v>
      </c>
      <c r="M33">
        <f ca="1">DATEDIF(tblPatients[[#This Row],[date_of_birth]],TODAY(),"Y")</f>
        <v>45</v>
      </c>
      <c r="N33" t="str">
        <f ca="1">IF(tblPatients[[#This Row],[Age]]&lt;18,"Child",IF(tblPatients[[#This Row],[Age]]&lt;60,"Adult","Senior"))</f>
        <v>Adult</v>
      </c>
    </row>
    <row r="34" spans="1:14" x14ac:dyDescent="0.35">
      <c r="A34" t="s">
        <v>134</v>
      </c>
      <c r="B34" t="s">
        <v>33</v>
      </c>
      <c r="C34" t="s">
        <v>40</v>
      </c>
      <c r="D34" t="s">
        <v>14</v>
      </c>
      <c r="E34" s="1">
        <v>25605</v>
      </c>
      <c r="F34" s="3">
        <v>7923214041</v>
      </c>
      <c r="G34" t="s">
        <v>15</v>
      </c>
      <c r="H34" s="1">
        <v>45175</v>
      </c>
      <c r="I34" t="s">
        <v>41</v>
      </c>
      <c r="J34" t="s">
        <v>135</v>
      </c>
      <c r="K34" t="s">
        <v>98</v>
      </c>
      <c r="L34" t="str">
        <f>tblPatients[[#This Row],[first_name]] &amp; " " &amp; tblPatients[[#This Row],[last_name]]</f>
        <v>Michael Wilson</v>
      </c>
      <c r="M34">
        <f ca="1">DATEDIF(tblPatients[[#This Row],[date_of_birth]],TODAY(),"Y")</f>
        <v>56</v>
      </c>
      <c r="N34" t="str">
        <f ca="1">IF(tblPatients[[#This Row],[Age]]&lt;18,"Child",IF(tblPatients[[#This Row],[Age]]&lt;60,"Adult","Senior"))</f>
        <v>Adult</v>
      </c>
    </row>
    <row r="35" spans="1:14" x14ac:dyDescent="0.35">
      <c r="A35" t="s">
        <v>136</v>
      </c>
      <c r="B35" t="s">
        <v>49</v>
      </c>
      <c r="C35" t="s">
        <v>21</v>
      </c>
      <c r="D35" t="s">
        <v>14</v>
      </c>
      <c r="E35" s="1">
        <v>18289</v>
      </c>
      <c r="F35" s="3">
        <v>8374657733</v>
      </c>
      <c r="G35" t="s">
        <v>22</v>
      </c>
      <c r="H35" s="1">
        <v>45095</v>
      </c>
      <c r="I35" t="s">
        <v>16</v>
      </c>
      <c r="J35" t="s">
        <v>137</v>
      </c>
      <c r="K35" t="s">
        <v>138</v>
      </c>
      <c r="L35" t="str">
        <f>tblPatients[[#This Row],[first_name]] &amp; " " &amp; tblPatients[[#This Row],[last_name]]</f>
        <v>Alex Smith</v>
      </c>
      <c r="M35">
        <f ca="1">DATEDIF(tblPatients[[#This Row],[date_of_birth]],TODAY(),"Y")</f>
        <v>76</v>
      </c>
      <c r="N35" t="str">
        <f ca="1">IF(tblPatients[[#This Row],[Age]]&lt;18,"Child",IF(tblPatients[[#This Row],[Age]]&lt;60,"Adult","Senior"))</f>
        <v>Senior</v>
      </c>
    </row>
    <row r="36" spans="1:14" x14ac:dyDescent="0.35">
      <c r="A36" t="s">
        <v>139</v>
      </c>
      <c r="B36" t="s">
        <v>12</v>
      </c>
      <c r="C36" t="s">
        <v>40</v>
      </c>
      <c r="D36" t="s">
        <v>14</v>
      </c>
      <c r="E36" s="1">
        <v>34072</v>
      </c>
      <c r="F36" s="3">
        <v>7039619487</v>
      </c>
      <c r="G36" t="s">
        <v>35</v>
      </c>
      <c r="H36" s="1">
        <v>45116</v>
      </c>
      <c r="I36" t="s">
        <v>41</v>
      </c>
      <c r="J36" t="s">
        <v>140</v>
      </c>
      <c r="K36" t="s">
        <v>43</v>
      </c>
      <c r="L36" t="str">
        <f>tblPatients[[#This Row],[first_name]] &amp; " " &amp; tblPatients[[#This Row],[last_name]]</f>
        <v>David Wilson</v>
      </c>
      <c r="M36">
        <f ca="1">DATEDIF(tblPatients[[#This Row],[date_of_birth]],TODAY(),"Y")</f>
        <v>33</v>
      </c>
      <c r="N36" t="str">
        <f ca="1">IF(tblPatients[[#This Row],[Age]]&lt;18,"Child",IF(tblPatients[[#This Row],[Age]]&lt;60,"Adult","Senior"))</f>
        <v>Adult</v>
      </c>
    </row>
    <row r="37" spans="1:14" x14ac:dyDescent="0.35">
      <c r="A37" t="s">
        <v>141</v>
      </c>
      <c r="B37" t="s">
        <v>33</v>
      </c>
      <c r="C37" t="s">
        <v>40</v>
      </c>
      <c r="D37" t="s">
        <v>29</v>
      </c>
      <c r="E37" s="1">
        <v>35790</v>
      </c>
      <c r="F37" s="3">
        <v>8545613046</v>
      </c>
      <c r="G37" t="s">
        <v>35</v>
      </c>
      <c r="H37" s="1">
        <v>44838</v>
      </c>
      <c r="I37" t="s">
        <v>41</v>
      </c>
      <c r="J37" t="s">
        <v>142</v>
      </c>
      <c r="K37" t="s">
        <v>98</v>
      </c>
      <c r="L37" t="str">
        <f>tblPatients[[#This Row],[first_name]] &amp; " " &amp; tblPatients[[#This Row],[last_name]]</f>
        <v>Michael Wilson</v>
      </c>
      <c r="M37">
        <f ca="1">DATEDIF(tblPatients[[#This Row],[date_of_birth]],TODAY(),"Y")</f>
        <v>28</v>
      </c>
      <c r="N37" t="str">
        <f ca="1">IF(tblPatients[[#This Row],[Age]]&lt;18,"Child",IF(tblPatients[[#This Row],[Age]]&lt;60,"Adult","Senior"))</f>
        <v>Adult</v>
      </c>
    </row>
    <row r="38" spans="1:14" x14ac:dyDescent="0.35">
      <c r="A38" t="s">
        <v>143</v>
      </c>
      <c r="B38" t="s">
        <v>111</v>
      </c>
      <c r="C38" t="s">
        <v>13</v>
      </c>
      <c r="D38" t="s">
        <v>29</v>
      </c>
      <c r="E38" s="1">
        <v>36196</v>
      </c>
      <c r="F38" s="3">
        <v>8886800195</v>
      </c>
      <c r="G38" t="s">
        <v>54</v>
      </c>
      <c r="H38" s="1">
        <v>44469</v>
      </c>
      <c r="I38" t="s">
        <v>36</v>
      </c>
      <c r="J38" t="s">
        <v>144</v>
      </c>
      <c r="K38" t="s">
        <v>145</v>
      </c>
      <c r="L38" t="str">
        <f>tblPatients[[#This Row],[first_name]] &amp; " " &amp; tblPatients[[#This Row],[last_name]]</f>
        <v>Robert Williams</v>
      </c>
      <c r="M38">
        <f ca="1">DATEDIF(tblPatients[[#This Row],[date_of_birth]],TODAY(),"Y")</f>
        <v>27</v>
      </c>
      <c r="N38" t="str">
        <f ca="1">IF(tblPatients[[#This Row],[Age]]&lt;18,"Child",IF(tblPatients[[#This Row],[Age]]&lt;60,"Adult","Senior"))</f>
        <v>Adult</v>
      </c>
    </row>
    <row r="39" spans="1:14" x14ac:dyDescent="0.35">
      <c r="A39" t="s">
        <v>146</v>
      </c>
      <c r="B39" t="s">
        <v>12</v>
      </c>
      <c r="C39" t="s">
        <v>21</v>
      </c>
      <c r="D39" t="s">
        <v>29</v>
      </c>
      <c r="E39" s="1">
        <v>33414</v>
      </c>
      <c r="F39" s="3">
        <v>6347262390</v>
      </c>
      <c r="G39" t="s">
        <v>15</v>
      </c>
      <c r="H39" s="1">
        <v>44305</v>
      </c>
      <c r="I39" t="s">
        <v>41</v>
      </c>
      <c r="J39" t="s">
        <v>147</v>
      </c>
      <c r="K39" t="s">
        <v>125</v>
      </c>
      <c r="L39" t="str">
        <f>tblPatients[[#This Row],[first_name]] &amp; " " &amp; tblPatients[[#This Row],[last_name]]</f>
        <v>David Smith</v>
      </c>
      <c r="M39">
        <f ca="1">DATEDIF(tblPatients[[#This Row],[date_of_birth]],TODAY(),"Y")</f>
        <v>34</v>
      </c>
      <c r="N39" t="str">
        <f ca="1">IF(tblPatients[[#This Row],[Age]]&lt;18,"Child",IF(tblPatients[[#This Row],[Age]]&lt;60,"Adult","Senior"))</f>
        <v>Adult</v>
      </c>
    </row>
    <row r="40" spans="1:14" x14ac:dyDescent="0.35">
      <c r="A40" t="s">
        <v>148</v>
      </c>
      <c r="B40" t="s">
        <v>82</v>
      </c>
      <c r="C40" t="s">
        <v>40</v>
      </c>
      <c r="D40" t="s">
        <v>14</v>
      </c>
      <c r="E40" s="1">
        <v>18609</v>
      </c>
      <c r="F40" s="3">
        <v>9271131338</v>
      </c>
      <c r="G40" t="s">
        <v>15</v>
      </c>
      <c r="H40" s="1">
        <v>44264</v>
      </c>
      <c r="I40" t="s">
        <v>23</v>
      </c>
      <c r="J40" t="s">
        <v>149</v>
      </c>
      <c r="K40" t="s">
        <v>150</v>
      </c>
      <c r="L40" t="str">
        <f>tblPatients[[#This Row],[first_name]] &amp; " " &amp; tblPatients[[#This Row],[last_name]]</f>
        <v>Jane Wilson</v>
      </c>
      <c r="M40">
        <f ca="1">DATEDIF(tblPatients[[#This Row],[date_of_birth]],TODAY(),"Y")</f>
        <v>75</v>
      </c>
      <c r="N40" t="str">
        <f ca="1">IF(tblPatients[[#This Row],[Age]]&lt;18,"Child",IF(tblPatients[[#This Row],[Age]]&lt;60,"Adult","Senior"))</f>
        <v>Senior</v>
      </c>
    </row>
    <row r="41" spans="1:14" x14ac:dyDescent="0.35">
      <c r="A41" t="s">
        <v>151</v>
      </c>
      <c r="B41" t="s">
        <v>20</v>
      </c>
      <c r="C41" t="s">
        <v>13</v>
      </c>
      <c r="D41" t="s">
        <v>29</v>
      </c>
      <c r="E41" s="1">
        <v>26449</v>
      </c>
      <c r="F41" s="3">
        <v>7587653815</v>
      </c>
      <c r="G41" t="s">
        <v>54</v>
      </c>
      <c r="H41" s="1">
        <v>44485</v>
      </c>
      <c r="I41" t="s">
        <v>23</v>
      </c>
      <c r="J41" t="s">
        <v>152</v>
      </c>
      <c r="K41" t="s">
        <v>153</v>
      </c>
      <c r="L41" t="str">
        <f>tblPatients[[#This Row],[first_name]] &amp; " " &amp; tblPatients[[#This Row],[last_name]]</f>
        <v>Emily Williams</v>
      </c>
      <c r="M41">
        <f ca="1">DATEDIF(tblPatients[[#This Row],[date_of_birth]],TODAY(),"Y")</f>
        <v>53</v>
      </c>
      <c r="N41" t="str">
        <f ca="1">IF(tblPatients[[#This Row],[Age]]&lt;18,"Child",IF(tblPatients[[#This Row],[Age]]&lt;60,"Adult","Senior"))</f>
        <v>Adult</v>
      </c>
    </row>
    <row r="42" spans="1:14" x14ac:dyDescent="0.35">
      <c r="A42" t="s">
        <v>154</v>
      </c>
      <c r="B42" t="s">
        <v>111</v>
      </c>
      <c r="C42" t="s">
        <v>13</v>
      </c>
      <c r="D42" t="s">
        <v>29</v>
      </c>
      <c r="E42" s="1">
        <v>18798</v>
      </c>
      <c r="F42" s="3">
        <v>7020645498</v>
      </c>
      <c r="G42" t="s">
        <v>54</v>
      </c>
      <c r="H42" s="1">
        <v>44758</v>
      </c>
      <c r="I42" t="s">
        <v>16</v>
      </c>
      <c r="J42" t="s">
        <v>155</v>
      </c>
      <c r="K42" t="s">
        <v>145</v>
      </c>
      <c r="L42" t="str">
        <f>tblPatients[[#This Row],[first_name]] &amp; " " &amp; tblPatients[[#This Row],[last_name]]</f>
        <v>Robert Williams</v>
      </c>
      <c r="M42">
        <f ca="1">DATEDIF(tblPatients[[#This Row],[date_of_birth]],TODAY(),"Y")</f>
        <v>74</v>
      </c>
      <c r="N42" t="str">
        <f ca="1">IF(tblPatients[[#This Row],[Age]]&lt;18,"Child",IF(tblPatients[[#This Row],[Age]]&lt;60,"Adult","Senior"))</f>
        <v>Senior</v>
      </c>
    </row>
    <row r="43" spans="1:14" x14ac:dyDescent="0.35">
      <c r="A43" t="s">
        <v>156</v>
      </c>
      <c r="B43" t="s">
        <v>82</v>
      </c>
      <c r="C43" t="s">
        <v>21</v>
      </c>
      <c r="D43" t="s">
        <v>14</v>
      </c>
      <c r="E43" s="1">
        <v>19958</v>
      </c>
      <c r="F43" s="3">
        <v>7040069008</v>
      </c>
      <c r="G43" t="s">
        <v>15</v>
      </c>
      <c r="H43" s="1">
        <v>44635</v>
      </c>
      <c r="I43" t="s">
        <v>41</v>
      </c>
      <c r="J43" t="s">
        <v>157</v>
      </c>
      <c r="K43" t="s">
        <v>158</v>
      </c>
      <c r="L43" t="str">
        <f>tblPatients[[#This Row],[first_name]] &amp; " " &amp; tblPatients[[#This Row],[last_name]]</f>
        <v>Jane Smith</v>
      </c>
      <c r="M43">
        <f ca="1">DATEDIF(tblPatients[[#This Row],[date_of_birth]],TODAY(),"Y")</f>
        <v>71</v>
      </c>
      <c r="N43" t="str">
        <f ca="1">IF(tblPatients[[#This Row],[Age]]&lt;18,"Child",IF(tblPatients[[#This Row],[Age]]&lt;60,"Adult","Senior"))</f>
        <v>Senior</v>
      </c>
    </row>
    <row r="44" spans="1:14" x14ac:dyDescent="0.35">
      <c r="A44" t="s">
        <v>159</v>
      </c>
      <c r="B44" t="s">
        <v>45</v>
      </c>
      <c r="C44" t="s">
        <v>101</v>
      </c>
      <c r="D44" t="s">
        <v>29</v>
      </c>
      <c r="E44" s="1">
        <v>29305</v>
      </c>
      <c r="F44" s="3">
        <v>9127665406</v>
      </c>
      <c r="G44" t="s">
        <v>15</v>
      </c>
      <c r="H44" s="1">
        <v>44760</v>
      </c>
      <c r="I44" t="s">
        <v>16</v>
      </c>
      <c r="J44" t="s">
        <v>160</v>
      </c>
      <c r="K44" t="s">
        <v>161</v>
      </c>
      <c r="L44" t="str">
        <f>tblPatients[[#This Row],[first_name]] &amp; " " &amp; tblPatients[[#This Row],[last_name]]</f>
        <v>Linda Brown</v>
      </c>
      <c r="M44">
        <f ca="1">DATEDIF(tblPatients[[#This Row],[date_of_birth]],TODAY(),"Y")</f>
        <v>46</v>
      </c>
      <c r="N44" t="str">
        <f ca="1">IF(tblPatients[[#This Row],[Age]]&lt;18,"Child",IF(tblPatients[[#This Row],[Age]]&lt;60,"Adult","Senior"))</f>
        <v>Adult</v>
      </c>
    </row>
    <row r="45" spans="1:14" x14ac:dyDescent="0.35">
      <c r="A45" t="s">
        <v>162</v>
      </c>
      <c r="B45" t="s">
        <v>111</v>
      </c>
      <c r="C45" t="s">
        <v>61</v>
      </c>
      <c r="D45" t="s">
        <v>14</v>
      </c>
      <c r="E45" s="1">
        <v>27830</v>
      </c>
      <c r="F45" s="3">
        <v>9449458981</v>
      </c>
      <c r="G45" t="s">
        <v>22</v>
      </c>
      <c r="H45" s="1">
        <v>44952</v>
      </c>
      <c r="I45" t="s">
        <v>23</v>
      </c>
      <c r="J45" t="s">
        <v>163</v>
      </c>
      <c r="K45" t="s">
        <v>164</v>
      </c>
      <c r="L45" t="str">
        <f>tblPatients[[#This Row],[first_name]] &amp; " " &amp; tblPatients[[#This Row],[last_name]]</f>
        <v>Robert Taylor</v>
      </c>
      <c r="M45">
        <f ca="1">DATEDIF(tblPatients[[#This Row],[date_of_birth]],TODAY(),"Y")</f>
        <v>50</v>
      </c>
      <c r="N45" t="str">
        <f ca="1">IF(tblPatients[[#This Row],[Age]]&lt;18,"Child",IF(tblPatients[[#This Row],[Age]]&lt;60,"Adult","Senior"))</f>
        <v>Adult</v>
      </c>
    </row>
    <row r="46" spans="1:14" x14ac:dyDescent="0.35">
      <c r="A46" t="s">
        <v>165</v>
      </c>
      <c r="B46" t="s">
        <v>45</v>
      </c>
      <c r="C46" t="s">
        <v>89</v>
      </c>
      <c r="D46" t="s">
        <v>14</v>
      </c>
      <c r="E46" s="1">
        <v>24222</v>
      </c>
      <c r="F46" s="3">
        <v>7579616535</v>
      </c>
      <c r="G46" t="s">
        <v>22</v>
      </c>
      <c r="H46" s="1">
        <v>44219</v>
      </c>
      <c r="I46" t="s">
        <v>41</v>
      </c>
      <c r="J46" t="s">
        <v>166</v>
      </c>
      <c r="K46" t="s">
        <v>167</v>
      </c>
      <c r="L46" t="str">
        <f>tblPatients[[#This Row],[first_name]] &amp; " " &amp; tblPatients[[#This Row],[last_name]]</f>
        <v>Linda Miller</v>
      </c>
      <c r="M46">
        <f ca="1">DATEDIF(tblPatients[[#This Row],[date_of_birth]],TODAY(),"Y")</f>
        <v>60</v>
      </c>
      <c r="N46" t="str">
        <f ca="1">IF(tblPatients[[#This Row],[Age]]&lt;18,"Child",IF(tblPatients[[#This Row],[Age]]&lt;60,"Adult","Senior"))</f>
        <v>Senior</v>
      </c>
    </row>
    <row r="47" spans="1:14" x14ac:dyDescent="0.35">
      <c r="A47" t="s">
        <v>168</v>
      </c>
      <c r="B47" t="s">
        <v>33</v>
      </c>
      <c r="C47" t="s">
        <v>61</v>
      </c>
      <c r="D47" t="s">
        <v>14</v>
      </c>
      <c r="E47" s="1">
        <v>31656</v>
      </c>
      <c r="F47" s="3">
        <v>8019925828</v>
      </c>
      <c r="G47" t="s">
        <v>54</v>
      </c>
      <c r="H47" s="1">
        <v>44408</v>
      </c>
      <c r="I47" t="s">
        <v>41</v>
      </c>
      <c r="J47" t="s">
        <v>169</v>
      </c>
      <c r="K47" t="s">
        <v>63</v>
      </c>
      <c r="L47" t="str">
        <f>tblPatients[[#This Row],[first_name]] &amp; " " &amp; tblPatients[[#This Row],[last_name]]</f>
        <v>Michael Taylor</v>
      </c>
      <c r="M47">
        <f ca="1">DATEDIF(tblPatients[[#This Row],[date_of_birth]],TODAY(),"Y")</f>
        <v>39</v>
      </c>
      <c r="N47" t="str">
        <f ca="1">IF(tblPatients[[#This Row],[Age]]&lt;18,"Child",IF(tblPatients[[#This Row],[Age]]&lt;60,"Adult","Senior"))</f>
        <v>Adult</v>
      </c>
    </row>
    <row r="48" spans="1:14" x14ac:dyDescent="0.35">
      <c r="A48" t="s">
        <v>170</v>
      </c>
      <c r="B48" t="s">
        <v>82</v>
      </c>
      <c r="C48" t="s">
        <v>93</v>
      </c>
      <c r="D48" t="s">
        <v>29</v>
      </c>
      <c r="E48" s="1">
        <v>35046</v>
      </c>
      <c r="F48" s="3">
        <v>8715732851</v>
      </c>
      <c r="G48" t="s">
        <v>22</v>
      </c>
      <c r="H48" s="1">
        <v>44701</v>
      </c>
      <c r="I48" t="s">
        <v>16</v>
      </c>
      <c r="J48" t="s">
        <v>171</v>
      </c>
      <c r="K48" t="s">
        <v>95</v>
      </c>
      <c r="L48" t="str">
        <f>tblPatients[[#This Row],[first_name]] &amp; " " &amp; tblPatients[[#This Row],[last_name]]</f>
        <v>Jane Moore</v>
      </c>
      <c r="M48">
        <f ca="1">DATEDIF(tblPatients[[#This Row],[date_of_birth]],TODAY(),"Y")</f>
        <v>30</v>
      </c>
      <c r="N48" t="str">
        <f ca="1">IF(tblPatients[[#This Row],[Age]]&lt;18,"Child",IF(tblPatients[[#This Row],[Age]]&lt;60,"Adult","Senior"))</f>
        <v>Adult</v>
      </c>
    </row>
    <row r="49" spans="1:14" x14ac:dyDescent="0.35">
      <c r="A49" t="s">
        <v>172</v>
      </c>
      <c r="B49" t="s">
        <v>20</v>
      </c>
      <c r="C49" t="s">
        <v>89</v>
      </c>
      <c r="D49" t="s">
        <v>29</v>
      </c>
      <c r="E49" s="1">
        <v>30399</v>
      </c>
      <c r="F49" s="3">
        <v>8720989381</v>
      </c>
      <c r="G49" t="s">
        <v>35</v>
      </c>
      <c r="H49" s="1">
        <v>45096</v>
      </c>
      <c r="I49" t="s">
        <v>23</v>
      </c>
      <c r="J49" t="s">
        <v>173</v>
      </c>
      <c r="K49" t="s">
        <v>174</v>
      </c>
      <c r="L49" t="str">
        <f>tblPatients[[#This Row],[first_name]] &amp; " " &amp; tblPatients[[#This Row],[last_name]]</f>
        <v>Emily Miller</v>
      </c>
      <c r="M49">
        <f ca="1">DATEDIF(tblPatients[[#This Row],[date_of_birth]],TODAY(),"Y")</f>
        <v>43</v>
      </c>
      <c r="N49" t="str">
        <f ca="1">IF(tblPatients[[#This Row],[Age]]&lt;18,"Child",IF(tblPatients[[#This Row],[Age]]&lt;60,"Adult","Senior"))</f>
        <v>Adult</v>
      </c>
    </row>
    <row r="50" spans="1:14" x14ac:dyDescent="0.35">
      <c r="A50" t="s">
        <v>175</v>
      </c>
      <c r="B50" t="s">
        <v>12</v>
      </c>
      <c r="C50" t="s">
        <v>93</v>
      </c>
      <c r="D50" t="s">
        <v>29</v>
      </c>
      <c r="E50" s="1">
        <v>26629</v>
      </c>
      <c r="F50" s="3">
        <v>7712937941</v>
      </c>
      <c r="G50" t="s">
        <v>22</v>
      </c>
      <c r="H50" s="1">
        <v>45091</v>
      </c>
      <c r="I50" t="s">
        <v>41</v>
      </c>
      <c r="J50" t="s">
        <v>176</v>
      </c>
      <c r="K50" t="s">
        <v>177</v>
      </c>
      <c r="L50" t="str">
        <f>tblPatients[[#This Row],[first_name]] &amp; " " &amp; tblPatients[[#This Row],[last_name]]</f>
        <v>David Moore</v>
      </c>
      <c r="M50">
        <f ca="1">DATEDIF(tblPatients[[#This Row],[date_of_birth]],TODAY(),"Y")</f>
        <v>53</v>
      </c>
      <c r="N50" t="str">
        <f ca="1">IF(tblPatients[[#This Row],[Age]]&lt;18,"Child",IF(tblPatients[[#This Row],[Age]]&lt;60,"Adult","Senior"))</f>
        <v>Adult</v>
      </c>
    </row>
    <row r="51" spans="1:14" x14ac:dyDescent="0.35">
      <c r="A51" t="s">
        <v>178</v>
      </c>
      <c r="B51" t="s">
        <v>27</v>
      </c>
      <c r="C51" t="s">
        <v>40</v>
      </c>
      <c r="D51" t="s">
        <v>29</v>
      </c>
      <c r="E51" s="1">
        <v>34330</v>
      </c>
      <c r="F51" s="3">
        <v>8301134730</v>
      </c>
      <c r="G51" t="s">
        <v>22</v>
      </c>
      <c r="H51" s="1">
        <v>45044</v>
      </c>
      <c r="I51" t="s">
        <v>16</v>
      </c>
      <c r="J51" t="s">
        <v>179</v>
      </c>
      <c r="K51" t="s">
        <v>87</v>
      </c>
      <c r="L51" t="str">
        <f>tblPatients[[#This Row],[first_name]] &amp; " " &amp; tblPatients[[#This Row],[last_name]]</f>
        <v>Laura Wilson</v>
      </c>
      <c r="M51">
        <f ca="1">DATEDIF(tblPatients[[#This Row],[date_of_birth]],TODAY(),"Y")</f>
        <v>32</v>
      </c>
      <c r="N51" t="str">
        <f ca="1">IF(tblPatients[[#This Row],[Age]]&lt;18,"Child",IF(tblPatients[[#This Row],[Age]]&lt;60,"Adult","Senior"))</f>
        <v>Adult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344C-4B4B-4083-B87C-7C5EC06FF3BD}">
  <dimension ref="A1:I11"/>
  <sheetViews>
    <sheetView workbookViewId="0">
      <selection activeCell="F18" sqref="F18"/>
    </sheetView>
  </sheetViews>
  <sheetFormatPr defaultRowHeight="14.5" x14ac:dyDescent="0.35"/>
  <cols>
    <col min="1" max="1" width="10.90625" customWidth="1"/>
    <col min="2" max="2" width="11.90625" customWidth="1"/>
    <col min="3" max="3" width="11.54296875" customWidth="1"/>
    <col min="4" max="4" width="14.08984375" customWidth="1"/>
    <col min="5" max="5" width="15.81640625" customWidth="1"/>
    <col min="6" max="6" width="17.36328125" customWidth="1"/>
    <col min="7" max="7" width="16.36328125" customWidth="1"/>
    <col min="8" max="8" width="26.1796875" bestFit="1" customWidth="1"/>
    <col min="9" max="9" width="12.90625" customWidth="1"/>
  </cols>
  <sheetData>
    <row r="1" spans="1:9" x14ac:dyDescent="0.35">
      <c r="A1" t="s">
        <v>180</v>
      </c>
      <c r="B1" t="s">
        <v>1</v>
      </c>
      <c r="C1" t="s">
        <v>2</v>
      </c>
      <c r="D1" t="s">
        <v>181</v>
      </c>
      <c r="E1" t="s">
        <v>182</v>
      </c>
      <c r="F1" t="s">
        <v>183</v>
      </c>
      <c r="G1" t="s">
        <v>184</v>
      </c>
      <c r="H1" t="s">
        <v>10</v>
      </c>
      <c r="I1" t="s">
        <v>849</v>
      </c>
    </row>
    <row r="2" spans="1:9" x14ac:dyDescent="0.35">
      <c r="A2" t="s">
        <v>185</v>
      </c>
      <c r="B2" t="s">
        <v>12</v>
      </c>
      <c r="C2" t="s">
        <v>61</v>
      </c>
      <c r="D2" t="s">
        <v>186</v>
      </c>
      <c r="E2">
        <v>8322010158</v>
      </c>
      <c r="F2">
        <v>17</v>
      </c>
      <c r="G2" t="s">
        <v>187</v>
      </c>
      <c r="H2" t="s">
        <v>188</v>
      </c>
      <c r="I2" t="str">
        <f>tblDoctors[[#This Row],[first_name]] &amp; " " &amp; tblDoctors[[#This Row],[last_name]]</f>
        <v>David Taylor</v>
      </c>
    </row>
    <row r="3" spans="1:9" x14ac:dyDescent="0.35">
      <c r="A3" t="s">
        <v>189</v>
      </c>
      <c r="B3" t="s">
        <v>82</v>
      </c>
      <c r="C3" t="s">
        <v>53</v>
      </c>
      <c r="D3" t="s">
        <v>190</v>
      </c>
      <c r="E3">
        <v>9004382050</v>
      </c>
      <c r="F3">
        <v>24</v>
      </c>
      <c r="G3" t="s">
        <v>191</v>
      </c>
      <c r="H3" t="s">
        <v>192</v>
      </c>
      <c r="I3" t="str">
        <f>tblDoctors[[#This Row],[first_name]] &amp; " " &amp; tblDoctors[[#This Row],[last_name]]</f>
        <v>Jane Davis</v>
      </c>
    </row>
    <row r="4" spans="1:9" x14ac:dyDescent="0.35">
      <c r="A4" t="s">
        <v>193</v>
      </c>
      <c r="B4" t="s">
        <v>82</v>
      </c>
      <c r="C4" t="s">
        <v>21</v>
      </c>
      <c r="D4" t="s">
        <v>190</v>
      </c>
      <c r="E4">
        <v>8737740598</v>
      </c>
      <c r="F4">
        <v>19</v>
      </c>
      <c r="G4" t="s">
        <v>191</v>
      </c>
      <c r="H4" t="s">
        <v>194</v>
      </c>
      <c r="I4" t="str">
        <f>tblDoctors[[#This Row],[first_name]] &amp; " " &amp; tblDoctors[[#This Row],[last_name]]</f>
        <v>Jane Smith</v>
      </c>
    </row>
    <row r="5" spans="1:9" x14ac:dyDescent="0.35">
      <c r="A5" t="s">
        <v>195</v>
      </c>
      <c r="B5" t="s">
        <v>12</v>
      </c>
      <c r="C5" t="s">
        <v>28</v>
      </c>
      <c r="D5" t="s">
        <v>190</v>
      </c>
      <c r="E5">
        <v>6594221991</v>
      </c>
      <c r="F5">
        <v>28</v>
      </c>
      <c r="G5" t="s">
        <v>196</v>
      </c>
      <c r="H5" t="s">
        <v>197</v>
      </c>
      <c r="I5" t="str">
        <f>tblDoctors[[#This Row],[first_name]] &amp; " " &amp; tblDoctors[[#This Row],[last_name]]</f>
        <v>David Jones</v>
      </c>
    </row>
    <row r="6" spans="1:9" x14ac:dyDescent="0.35">
      <c r="A6" t="s">
        <v>198</v>
      </c>
      <c r="B6" t="s">
        <v>76</v>
      </c>
      <c r="C6" t="s">
        <v>61</v>
      </c>
      <c r="D6" t="s">
        <v>186</v>
      </c>
      <c r="E6">
        <v>9118538547</v>
      </c>
      <c r="F6">
        <v>26</v>
      </c>
      <c r="G6" t="s">
        <v>196</v>
      </c>
      <c r="H6" t="s">
        <v>199</v>
      </c>
      <c r="I6" t="str">
        <f>tblDoctors[[#This Row],[first_name]] &amp; " " &amp; tblDoctors[[#This Row],[last_name]]</f>
        <v>Sarah Taylor</v>
      </c>
    </row>
    <row r="7" spans="1:9" x14ac:dyDescent="0.35">
      <c r="A7" t="s">
        <v>200</v>
      </c>
      <c r="B7" t="s">
        <v>49</v>
      </c>
      <c r="C7" t="s">
        <v>53</v>
      </c>
      <c r="D7" t="s">
        <v>190</v>
      </c>
      <c r="E7">
        <v>6570137231</v>
      </c>
      <c r="F7">
        <v>23</v>
      </c>
      <c r="G7" t="s">
        <v>196</v>
      </c>
      <c r="H7" t="s">
        <v>201</v>
      </c>
      <c r="I7" t="str">
        <f>tblDoctors[[#This Row],[first_name]] &amp; " " &amp; tblDoctors[[#This Row],[last_name]]</f>
        <v>Alex Davis</v>
      </c>
    </row>
    <row r="8" spans="1:9" x14ac:dyDescent="0.35">
      <c r="A8" t="s">
        <v>202</v>
      </c>
      <c r="B8" t="s">
        <v>111</v>
      </c>
      <c r="C8" t="s">
        <v>53</v>
      </c>
      <c r="D8" t="s">
        <v>203</v>
      </c>
      <c r="E8">
        <v>8217493115</v>
      </c>
      <c r="F8">
        <v>26</v>
      </c>
      <c r="G8" t="s">
        <v>187</v>
      </c>
      <c r="H8" t="s">
        <v>204</v>
      </c>
      <c r="I8" t="str">
        <f>tblDoctors[[#This Row],[first_name]] &amp; " " &amp; tblDoctors[[#This Row],[last_name]]</f>
        <v>Robert Davis</v>
      </c>
    </row>
    <row r="9" spans="1:9" x14ac:dyDescent="0.35">
      <c r="A9" t="s">
        <v>205</v>
      </c>
      <c r="B9" t="s">
        <v>45</v>
      </c>
      <c r="C9" t="s">
        <v>101</v>
      </c>
      <c r="D9" t="s">
        <v>186</v>
      </c>
      <c r="E9">
        <v>9069162601</v>
      </c>
      <c r="F9">
        <v>5</v>
      </c>
      <c r="G9" t="s">
        <v>187</v>
      </c>
      <c r="H9" t="s">
        <v>206</v>
      </c>
      <c r="I9" t="str">
        <f>tblDoctors[[#This Row],[first_name]] &amp; " " &amp; tblDoctors[[#This Row],[last_name]]</f>
        <v>Linda Brown</v>
      </c>
    </row>
    <row r="10" spans="1:9" x14ac:dyDescent="0.35">
      <c r="A10" t="s">
        <v>207</v>
      </c>
      <c r="B10" t="s">
        <v>76</v>
      </c>
      <c r="C10" t="s">
        <v>21</v>
      </c>
      <c r="D10" t="s">
        <v>190</v>
      </c>
      <c r="E10">
        <v>7387087517</v>
      </c>
      <c r="F10">
        <v>26</v>
      </c>
      <c r="G10" t="s">
        <v>196</v>
      </c>
      <c r="H10" t="s">
        <v>208</v>
      </c>
      <c r="I10" t="str">
        <f>tblDoctors[[#This Row],[first_name]] &amp; " " &amp; tblDoctors[[#This Row],[last_name]]</f>
        <v>Sarah Smith</v>
      </c>
    </row>
    <row r="11" spans="1:9" x14ac:dyDescent="0.35">
      <c r="A11" t="s">
        <v>209</v>
      </c>
      <c r="B11" t="s">
        <v>45</v>
      </c>
      <c r="C11" t="s">
        <v>40</v>
      </c>
      <c r="D11" t="s">
        <v>203</v>
      </c>
      <c r="E11">
        <v>6176383634</v>
      </c>
      <c r="F11">
        <v>21</v>
      </c>
      <c r="G11" t="s">
        <v>191</v>
      </c>
      <c r="H11" t="s">
        <v>210</v>
      </c>
      <c r="I11" t="str">
        <f>tblDoctors[[#This Row],[first_name]] &amp; " " &amp; tblDoctors[[#This Row],[last_name]]</f>
        <v>Linda Wilson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E9C9-C9A1-4E24-BBF4-028AE1FAFECF}">
  <dimension ref="A1:K201"/>
  <sheetViews>
    <sheetView workbookViewId="0">
      <selection activeCell="H4" sqref="H4"/>
    </sheetView>
  </sheetViews>
  <sheetFormatPr defaultRowHeight="14.5" x14ac:dyDescent="0.35"/>
  <cols>
    <col min="1" max="1" width="16.36328125" customWidth="1"/>
    <col min="2" max="2" width="11.453125" customWidth="1"/>
    <col min="3" max="3" width="10.90625" customWidth="1"/>
    <col min="4" max="5" width="18.6328125" customWidth="1"/>
    <col min="6" max="6" width="16.36328125" customWidth="1"/>
    <col min="7" max="7" width="9.90625" bestFit="1" customWidth="1"/>
    <col min="8" max="8" width="21.54296875" customWidth="1"/>
    <col min="9" max="9" width="19.1796875" customWidth="1"/>
    <col min="10" max="10" width="18.6328125" customWidth="1"/>
    <col min="11" max="11" width="18.26953125" customWidth="1"/>
    <col min="12" max="13" width="10.26953125" customWidth="1"/>
    <col min="14" max="103" width="11.26953125" customWidth="1"/>
    <col min="104" max="1003" width="12.26953125" customWidth="1"/>
    <col min="1004" max="10003" width="13.26953125" customWidth="1"/>
    <col min="10004" max="16384" width="14.26953125" customWidth="1"/>
  </cols>
  <sheetData>
    <row r="1" spans="1:11" x14ac:dyDescent="0.35">
      <c r="A1" t="s">
        <v>211</v>
      </c>
      <c r="B1" t="s">
        <v>0</v>
      </c>
      <c r="C1" t="s">
        <v>180</v>
      </c>
      <c r="D1" t="s">
        <v>212</v>
      </c>
      <c r="E1" t="s">
        <v>213</v>
      </c>
      <c r="F1" t="s">
        <v>214</v>
      </c>
      <c r="G1" t="s">
        <v>215</v>
      </c>
      <c r="H1" t="s">
        <v>851</v>
      </c>
      <c r="I1" t="s">
        <v>852</v>
      </c>
      <c r="J1" t="s">
        <v>855</v>
      </c>
      <c r="K1" t="s">
        <v>856</v>
      </c>
    </row>
    <row r="2" spans="1:11" x14ac:dyDescent="0.35">
      <c r="A2" t="s">
        <v>216</v>
      </c>
      <c r="B2" t="s">
        <v>136</v>
      </c>
      <c r="C2" t="s">
        <v>207</v>
      </c>
      <c r="D2" s="1">
        <v>45147</v>
      </c>
      <c r="E2" s="2">
        <v>0.63541666666666663</v>
      </c>
      <c r="F2" t="s">
        <v>217</v>
      </c>
      <c r="G2" t="s">
        <v>218</v>
      </c>
      <c r="H2" t="str">
        <f>TEXT(tblAppointments[[#This Row],[appointment_date]], "MMMM")</f>
        <v>August</v>
      </c>
      <c r="I2">
        <f>YEAR(tblAppointments[[#This Row],[appointment_date]])</f>
        <v>2023</v>
      </c>
      <c r="J2" s="4" t="str">
        <f>VLOOKUP(tblAppointments[[#This Row],[patient_id]],tblPatients[[patient_id]:[Age_Group]],12,FALSE)</f>
        <v>Alex Smith</v>
      </c>
      <c r="K2" s="4" t="str">
        <f>VLOOKUP(tblAppointments[[#This Row],[doctor_id]],tblDoctors[[doctor_id]:[Full_name]],9,FALSE)</f>
        <v>Sarah Smith</v>
      </c>
    </row>
    <row r="3" spans="1:11" x14ac:dyDescent="0.35">
      <c r="A3" t="s">
        <v>219</v>
      </c>
      <c r="B3" t="s">
        <v>132</v>
      </c>
      <c r="C3" t="s">
        <v>195</v>
      </c>
      <c r="D3" s="1">
        <v>45086</v>
      </c>
      <c r="E3" s="2">
        <v>0.60416666666666663</v>
      </c>
      <c r="F3" t="s">
        <v>217</v>
      </c>
      <c r="G3" t="s">
        <v>220</v>
      </c>
      <c r="H3" t="str">
        <f>TEXT(tblAppointments[[#This Row],[appointment_date]], "MMMM")</f>
        <v>June</v>
      </c>
      <c r="I3">
        <f>YEAR(tblAppointments[[#This Row],[appointment_date]])</f>
        <v>2023</v>
      </c>
      <c r="J3" s="4" t="str">
        <f>VLOOKUP(tblAppointments[[#This Row],[patient_id]],tblPatients[[patient_id]:[Age_Group]],12,FALSE)</f>
        <v>Alex Moore</v>
      </c>
      <c r="K3" s="4" t="str">
        <f>VLOOKUP(tblAppointments[[#This Row],[doctor_id]],tblDoctors[[doctor_id]:[Full_name]],9,FALSE)</f>
        <v>David Jones</v>
      </c>
    </row>
    <row r="4" spans="1:11" x14ac:dyDescent="0.35">
      <c r="A4" t="s">
        <v>221</v>
      </c>
      <c r="B4" t="s">
        <v>172</v>
      </c>
      <c r="C4" t="s">
        <v>195</v>
      </c>
      <c r="D4" s="1">
        <v>45105</v>
      </c>
      <c r="E4" s="2">
        <v>0.33333333333333331</v>
      </c>
      <c r="F4" t="s">
        <v>222</v>
      </c>
      <c r="G4" t="s">
        <v>223</v>
      </c>
      <c r="H4" t="str">
        <f>TEXT(tblAppointments[[#This Row],[appointment_date]], "MMMM")</f>
        <v>June</v>
      </c>
      <c r="I4">
        <f>YEAR(tblAppointments[[#This Row],[appointment_date]])</f>
        <v>2023</v>
      </c>
      <c r="J4" s="4" t="str">
        <f>VLOOKUP(tblAppointments[[#This Row],[patient_id]],tblPatients[[patient_id]:[Age_Group]],12,FALSE)</f>
        <v>Emily Miller</v>
      </c>
      <c r="K4" s="4" t="str">
        <f>VLOOKUP(tblAppointments[[#This Row],[doctor_id]],tblDoctors[[doctor_id]:[Full_name]],9,FALSE)</f>
        <v>David Jones</v>
      </c>
    </row>
    <row r="5" spans="1:11" x14ac:dyDescent="0.35">
      <c r="A5" t="s">
        <v>224</v>
      </c>
      <c r="B5" t="s">
        <v>110</v>
      </c>
      <c r="C5" t="s">
        <v>200</v>
      </c>
      <c r="D5" s="1">
        <v>45170</v>
      </c>
      <c r="E5" s="2">
        <v>0.38541666666666669</v>
      </c>
      <c r="F5" t="s">
        <v>222</v>
      </c>
      <c r="G5" t="s">
        <v>223</v>
      </c>
      <c r="H5" t="str">
        <f>TEXT(tblAppointments[[#This Row],[appointment_date]], "MMMM")</f>
        <v>September</v>
      </c>
      <c r="I5">
        <f>YEAR(tblAppointments[[#This Row],[appointment_date]])</f>
        <v>2023</v>
      </c>
      <c r="J5" s="4" t="str">
        <f>VLOOKUP(tblAppointments[[#This Row],[patient_id]],tblPatients[[patient_id]:[Age_Group]],12,FALSE)</f>
        <v>Robert Wilson</v>
      </c>
      <c r="K5" s="4" t="str">
        <f>VLOOKUP(tblAppointments[[#This Row],[doctor_id]],tblDoctors[[doctor_id]:[Full_name]],9,FALSE)</f>
        <v>Alex Davis</v>
      </c>
    </row>
    <row r="6" spans="1:11" x14ac:dyDescent="0.35">
      <c r="A6" t="s">
        <v>225</v>
      </c>
      <c r="B6" t="s">
        <v>151</v>
      </c>
      <c r="C6" t="s">
        <v>193</v>
      </c>
      <c r="D6" s="1">
        <v>45113</v>
      </c>
      <c r="E6" s="2">
        <v>0.53125</v>
      </c>
      <c r="F6" t="s">
        <v>226</v>
      </c>
      <c r="G6" t="s">
        <v>220</v>
      </c>
      <c r="H6" t="str">
        <f>TEXT(tblAppointments[[#This Row],[appointment_date]], "MMMM")</f>
        <v>July</v>
      </c>
      <c r="I6">
        <f>YEAR(tblAppointments[[#This Row],[appointment_date]])</f>
        <v>2023</v>
      </c>
      <c r="J6" s="4" t="str">
        <f>VLOOKUP(tblAppointments[[#This Row],[patient_id]],tblPatients[[patient_id]:[Age_Group]],12,FALSE)</f>
        <v>Emily Williams</v>
      </c>
      <c r="K6" s="4" t="str">
        <f>VLOOKUP(tblAppointments[[#This Row],[doctor_id]],tblDoctors[[doctor_id]:[Full_name]],9,FALSE)</f>
        <v>Jane Smith</v>
      </c>
    </row>
    <row r="7" spans="1:11" x14ac:dyDescent="0.35">
      <c r="A7" t="s">
        <v>227</v>
      </c>
      <c r="B7" t="s">
        <v>165</v>
      </c>
      <c r="C7" t="s">
        <v>200</v>
      </c>
      <c r="D7" s="1">
        <v>45096</v>
      </c>
      <c r="E7" s="2">
        <v>0.67708333333333337</v>
      </c>
      <c r="F7" t="s">
        <v>228</v>
      </c>
      <c r="G7" t="s">
        <v>218</v>
      </c>
      <c r="H7" t="str">
        <f>TEXT(tblAppointments[[#This Row],[appointment_date]], "MMMM")</f>
        <v>June</v>
      </c>
      <c r="I7">
        <f>YEAR(tblAppointments[[#This Row],[appointment_date]])</f>
        <v>2023</v>
      </c>
      <c r="J7" s="4" t="str">
        <f>VLOOKUP(tblAppointments[[#This Row],[patient_id]],tblPatients[[patient_id]:[Age_Group]],12,FALSE)</f>
        <v>Linda Miller</v>
      </c>
      <c r="K7" s="4" t="str">
        <f>VLOOKUP(tblAppointments[[#This Row],[doctor_id]],tblDoctors[[doctor_id]:[Full_name]],9,FALSE)</f>
        <v>Alex Davis</v>
      </c>
    </row>
    <row r="8" spans="1:11" x14ac:dyDescent="0.35">
      <c r="A8" t="s">
        <v>229</v>
      </c>
      <c r="B8" t="s">
        <v>11</v>
      </c>
      <c r="C8" t="s">
        <v>202</v>
      </c>
      <c r="D8" s="1">
        <v>45025</v>
      </c>
      <c r="E8" s="2">
        <v>0.4375</v>
      </c>
      <c r="F8" t="s">
        <v>222</v>
      </c>
      <c r="G8" t="s">
        <v>218</v>
      </c>
      <c r="H8" t="str">
        <f>TEXT(tblAppointments[[#This Row],[appointment_date]], "MMMM")</f>
        <v>April</v>
      </c>
      <c r="I8">
        <f>YEAR(tblAppointments[[#This Row],[appointment_date]])</f>
        <v>2023</v>
      </c>
      <c r="J8" s="4" t="str">
        <f>VLOOKUP(tblAppointments[[#This Row],[patient_id]],tblPatients[[patient_id]:[Age_Group]],12,FALSE)</f>
        <v>David Williams</v>
      </c>
      <c r="K8" s="4" t="str">
        <f>VLOOKUP(tblAppointments[[#This Row],[doctor_id]],tblDoctors[[doctor_id]:[Full_name]],9,FALSE)</f>
        <v>Robert Davis</v>
      </c>
    </row>
    <row r="9" spans="1:11" x14ac:dyDescent="0.35">
      <c r="A9" t="s">
        <v>230</v>
      </c>
      <c r="B9" t="s">
        <v>79</v>
      </c>
      <c r="C9" t="s">
        <v>209</v>
      </c>
      <c r="D9" s="1">
        <v>45070</v>
      </c>
      <c r="E9" s="2">
        <v>0.36458333333333331</v>
      </c>
      <c r="F9" t="s">
        <v>222</v>
      </c>
      <c r="G9" t="s">
        <v>223</v>
      </c>
      <c r="H9" t="str">
        <f>TEXT(tblAppointments[[#This Row],[appointment_date]], "MMMM")</f>
        <v>May</v>
      </c>
      <c r="I9">
        <f>YEAR(tblAppointments[[#This Row],[appointment_date]])</f>
        <v>2023</v>
      </c>
      <c r="J9" s="4" t="str">
        <f>VLOOKUP(tblAppointments[[#This Row],[patient_id]],tblPatients[[patient_id]:[Age_Group]],12,FALSE)</f>
        <v>Michael Taylor</v>
      </c>
      <c r="K9" s="4" t="str">
        <f>VLOOKUP(tblAppointments[[#This Row],[doctor_id]],tblDoctors[[doctor_id]:[Full_name]],9,FALSE)</f>
        <v>Linda Wilson</v>
      </c>
    </row>
    <row r="10" spans="1:11" x14ac:dyDescent="0.35">
      <c r="A10" t="s">
        <v>231</v>
      </c>
      <c r="B10" t="s">
        <v>148</v>
      </c>
      <c r="C10" t="s">
        <v>209</v>
      </c>
      <c r="D10" s="1">
        <v>44990</v>
      </c>
      <c r="E10" s="2">
        <v>0.57291666666666663</v>
      </c>
      <c r="F10" t="s">
        <v>232</v>
      </c>
      <c r="G10" t="s">
        <v>218</v>
      </c>
      <c r="H10" t="str">
        <f>TEXT(tblAppointments[[#This Row],[appointment_date]], "MMMM")</f>
        <v>March</v>
      </c>
      <c r="I10">
        <f>YEAR(tblAppointments[[#This Row],[appointment_date]])</f>
        <v>2023</v>
      </c>
      <c r="J10" s="4" t="str">
        <f>VLOOKUP(tblAppointments[[#This Row],[patient_id]],tblPatients[[patient_id]:[Age_Group]],12,FALSE)</f>
        <v>Jane Wilson</v>
      </c>
      <c r="K10" s="4" t="str">
        <f>VLOOKUP(tblAppointments[[#This Row],[doctor_id]],tblDoctors[[doctor_id]:[Full_name]],9,FALSE)</f>
        <v>Linda Wilson</v>
      </c>
    </row>
    <row r="11" spans="1:11" x14ac:dyDescent="0.35">
      <c r="A11" t="s">
        <v>233</v>
      </c>
      <c r="B11" t="s">
        <v>39</v>
      </c>
      <c r="C11" t="s">
        <v>193</v>
      </c>
      <c r="D11" s="1">
        <v>44939</v>
      </c>
      <c r="E11" s="2">
        <v>0.64583333333333337</v>
      </c>
      <c r="F11" t="s">
        <v>217</v>
      </c>
      <c r="G11" t="s">
        <v>234</v>
      </c>
      <c r="H11" t="str">
        <f>TEXT(tblAppointments[[#This Row],[appointment_date]], "MMMM")</f>
        <v>January</v>
      </c>
      <c r="I11">
        <f>YEAR(tblAppointments[[#This Row],[appointment_date]])</f>
        <v>2023</v>
      </c>
      <c r="J11" s="4" t="str">
        <f>VLOOKUP(tblAppointments[[#This Row],[patient_id]],tblPatients[[patient_id]:[Age_Group]],12,FALSE)</f>
        <v>David Wilson</v>
      </c>
      <c r="K11" s="4" t="str">
        <f>VLOOKUP(tblAppointments[[#This Row],[doctor_id]],tblDoctors[[doctor_id]:[Full_name]],9,FALSE)</f>
        <v>Jane Smith</v>
      </c>
    </row>
    <row r="12" spans="1:11" x14ac:dyDescent="0.35">
      <c r="A12" t="s">
        <v>235</v>
      </c>
      <c r="B12" t="s">
        <v>99</v>
      </c>
      <c r="C12" t="s">
        <v>202</v>
      </c>
      <c r="D12" s="1">
        <v>45242</v>
      </c>
      <c r="E12" s="2">
        <v>0.66666666666666663</v>
      </c>
      <c r="F12" t="s">
        <v>228</v>
      </c>
      <c r="G12" t="s">
        <v>220</v>
      </c>
      <c r="H12" t="str">
        <f>TEXT(tblAppointments[[#This Row],[appointment_date]], "MMMM")</f>
        <v>November</v>
      </c>
      <c r="I12">
        <f>YEAR(tblAppointments[[#This Row],[appointment_date]])</f>
        <v>2023</v>
      </c>
      <c r="J12" s="4" t="str">
        <f>VLOOKUP(tblAppointments[[#This Row],[patient_id]],tblPatients[[patient_id]:[Age_Group]],12,FALSE)</f>
        <v>John Brown</v>
      </c>
      <c r="K12" s="4" t="str">
        <f>VLOOKUP(tblAppointments[[#This Row],[doctor_id]],tblDoctors[[doctor_id]:[Full_name]],9,FALSE)</f>
        <v>Robert Davis</v>
      </c>
    </row>
    <row r="13" spans="1:11" x14ac:dyDescent="0.35">
      <c r="A13" t="s">
        <v>236</v>
      </c>
      <c r="B13" t="s">
        <v>123</v>
      </c>
      <c r="C13" t="s">
        <v>193</v>
      </c>
      <c r="D13" s="1">
        <v>45053</v>
      </c>
      <c r="E13" s="2">
        <v>0.41666666666666669</v>
      </c>
      <c r="F13" t="s">
        <v>232</v>
      </c>
      <c r="G13" t="s">
        <v>234</v>
      </c>
      <c r="H13" t="str">
        <f>TEXT(tblAppointments[[#This Row],[appointment_date]], "MMMM")</f>
        <v>May</v>
      </c>
      <c r="I13">
        <f>YEAR(tblAppointments[[#This Row],[appointment_date]])</f>
        <v>2023</v>
      </c>
      <c r="J13" s="4" t="str">
        <f>VLOOKUP(tblAppointments[[#This Row],[patient_id]],tblPatients[[patient_id]:[Age_Group]],12,FALSE)</f>
        <v>David Smith</v>
      </c>
      <c r="K13" s="4" t="str">
        <f>VLOOKUP(tblAppointments[[#This Row],[doctor_id]],tblDoctors[[doctor_id]:[Full_name]],9,FALSE)</f>
        <v>Jane Smith</v>
      </c>
    </row>
    <row r="14" spans="1:11" x14ac:dyDescent="0.35">
      <c r="A14" t="s">
        <v>237</v>
      </c>
      <c r="B14" t="s">
        <v>26</v>
      </c>
      <c r="C14" t="s">
        <v>189</v>
      </c>
      <c r="D14" s="1">
        <v>45154</v>
      </c>
      <c r="E14" s="2">
        <v>0.5</v>
      </c>
      <c r="F14" t="s">
        <v>226</v>
      </c>
      <c r="G14" t="s">
        <v>218</v>
      </c>
      <c r="H14" t="str">
        <f>TEXT(tblAppointments[[#This Row],[appointment_date]], "MMMM")</f>
        <v>August</v>
      </c>
      <c r="I14">
        <f>YEAR(tblAppointments[[#This Row],[appointment_date]])</f>
        <v>2023</v>
      </c>
      <c r="J14" s="4" t="str">
        <f>VLOOKUP(tblAppointments[[#This Row],[patient_id]],tblPatients[[patient_id]:[Age_Group]],12,FALSE)</f>
        <v>Laura Jones</v>
      </c>
      <c r="K14" s="4" t="str">
        <f>VLOOKUP(tblAppointments[[#This Row],[doctor_id]],tblDoctors[[doctor_id]:[Full_name]],9,FALSE)</f>
        <v>Jane Davis</v>
      </c>
    </row>
    <row r="15" spans="1:11" x14ac:dyDescent="0.35">
      <c r="A15" t="s">
        <v>238</v>
      </c>
      <c r="B15" t="s">
        <v>67</v>
      </c>
      <c r="C15" t="s">
        <v>209</v>
      </c>
      <c r="D15" s="1">
        <v>45071</v>
      </c>
      <c r="E15" s="2">
        <v>0.4375</v>
      </c>
      <c r="F15" t="s">
        <v>226</v>
      </c>
      <c r="G15" t="s">
        <v>223</v>
      </c>
      <c r="H15" t="str">
        <f>TEXT(tblAppointments[[#This Row],[appointment_date]], "MMMM")</f>
        <v>May</v>
      </c>
      <c r="I15">
        <f>YEAR(tblAppointments[[#This Row],[appointment_date]])</f>
        <v>2023</v>
      </c>
      <c r="J15" s="4" t="str">
        <f>VLOOKUP(tblAppointments[[#This Row],[patient_id]],tblPatients[[patient_id]:[Age_Group]],12,FALSE)</f>
        <v>Laura Davis</v>
      </c>
      <c r="K15" s="4" t="str">
        <f>VLOOKUP(tblAppointments[[#This Row],[doctor_id]],tblDoctors[[doctor_id]:[Full_name]],9,FALSE)</f>
        <v>Linda Wilson</v>
      </c>
    </row>
    <row r="16" spans="1:11" x14ac:dyDescent="0.35">
      <c r="A16" t="s">
        <v>239</v>
      </c>
      <c r="B16" t="s">
        <v>114</v>
      </c>
      <c r="C16" t="s">
        <v>195</v>
      </c>
      <c r="D16" s="1">
        <v>44941</v>
      </c>
      <c r="E16" s="2">
        <v>0.71875</v>
      </c>
      <c r="F16" t="s">
        <v>222</v>
      </c>
      <c r="G16" t="s">
        <v>220</v>
      </c>
      <c r="H16" t="str">
        <f>TEXT(tblAppointments[[#This Row],[appointment_date]], "MMMM")</f>
        <v>January</v>
      </c>
      <c r="I16">
        <f>YEAR(tblAppointments[[#This Row],[appointment_date]])</f>
        <v>2023</v>
      </c>
      <c r="J16" s="4" t="str">
        <f>VLOOKUP(tblAppointments[[#This Row],[patient_id]],tblPatients[[patient_id]:[Age_Group]],12,FALSE)</f>
        <v>John Taylor</v>
      </c>
      <c r="K16" s="4" t="str">
        <f>VLOOKUP(tblAppointments[[#This Row],[doctor_id]],tblDoctors[[doctor_id]:[Full_name]],9,FALSE)</f>
        <v>David Jones</v>
      </c>
    </row>
    <row r="17" spans="1:11" x14ac:dyDescent="0.35">
      <c r="A17" t="s">
        <v>240</v>
      </c>
      <c r="B17" t="s">
        <v>79</v>
      </c>
      <c r="C17" t="s">
        <v>205</v>
      </c>
      <c r="D17" s="1">
        <v>45107</v>
      </c>
      <c r="E17" s="2">
        <v>0.45833333333333331</v>
      </c>
      <c r="F17" t="s">
        <v>222</v>
      </c>
      <c r="G17" t="s">
        <v>218</v>
      </c>
      <c r="H17" t="str">
        <f>TEXT(tblAppointments[[#This Row],[appointment_date]], "MMMM")</f>
        <v>June</v>
      </c>
      <c r="I17">
        <f>YEAR(tblAppointments[[#This Row],[appointment_date]])</f>
        <v>2023</v>
      </c>
      <c r="J17" s="4" t="str">
        <f>VLOOKUP(tblAppointments[[#This Row],[patient_id]],tblPatients[[patient_id]:[Age_Group]],12,FALSE)</f>
        <v>Michael Taylor</v>
      </c>
      <c r="K17" s="4" t="str">
        <f>VLOOKUP(tblAppointments[[#This Row],[doctor_id]],tblDoctors[[doctor_id]:[Full_name]],9,FALSE)</f>
        <v>Linda Brown</v>
      </c>
    </row>
    <row r="18" spans="1:11" x14ac:dyDescent="0.35">
      <c r="A18" t="s">
        <v>241</v>
      </c>
      <c r="B18" t="s">
        <v>143</v>
      </c>
      <c r="C18" t="s">
        <v>207</v>
      </c>
      <c r="D18" s="1">
        <v>45118</v>
      </c>
      <c r="E18" s="2">
        <v>0.70833333333333337</v>
      </c>
      <c r="F18" t="s">
        <v>226</v>
      </c>
      <c r="G18" t="s">
        <v>218</v>
      </c>
      <c r="H18" t="str">
        <f>TEXT(tblAppointments[[#This Row],[appointment_date]], "MMMM")</f>
        <v>July</v>
      </c>
      <c r="I18">
        <f>YEAR(tblAppointments[[#This Row],[appointment_date]])</f>
        <v>2023</v>
      </c>
      <c r="J18" s="4" t="str">
        <f>VLOOKUP(tblAppointments[[#This Row],[patient_id]],tblPatients[[patient_id]:[Age_Group]],12,FALSE)</f>
        <v>Robert Williams</v>
      </c>
      <c r="K18" s="4" t="str">
        <f>VLOOKUP(tblAppointments[[#This Row],[doctor_id]],tblDoctors[[doctor_id]:[Full_name]],9,FALSE)</f>
        <v>Sarah Smith</v>
      </c>
    </row>
    <row r="19" spans="1:11" x14ac:dyDescent="0.35">
      <c r="A19" t="s">
        <v>242</v>
      </c>
      <c r="B19" t="s">
        <v>99</v>
      </c>
      <c r="C19" t="s">
        <v>202</v>
      </c>
      <c r="D19" s="1">
        <v>45244</v>
      </c>
      <c r="E19" s="2">
        <v>0.40625</v>
      </c>
      <c r="F19" t="s">
        <v>222</v>
      </c>
      <c r="G19" t="s">
        <v>223</v>
      </c>
      <c r="H19" t="str">
        <f>TEXT(tblAppointments[[#This Row],[appointment_date]], "MMMM")</f>
        <v>November</v>
      </c>
      <c r="I19">
        <f>YEAR(tblAppointments[[#This Row],[appointment_date]])</f>
        <v>2023</v>
      </c>
      <c r="J19" s="4" t="str">
        <f>VLOOKUP(tblAppointments[[#This Row],[patient_id]],tblPatients[[patient_id]:[Age_Group]],12,FALSE)</f>
        <v>John Brown</v>
      </c>
      <c r="K19" s="4" t="str">
        <f>VLOOKUP(tblAppointments[[#This Row],[doctor_id]],tblDoctors[[doctor_id]:[Full_name]],9,FALSE)</f>
        <v>Robert Davis</v>
      </c>
    </row>
    <row r="20" spans="1:11" x14ac:dyDescent="0.35">
      <c r="A20" t="s">
        <v>243</v>
      </c>
      <c r="B20" t="s">
        <v>123</v>
      </c>
      <c r="C20" t="s">
        <v>185</v>
      </c>
      <c r="D20" s="1">
        <v>44963</v>
      </c>
      <c r="E20" s="2">
        <v>0.64583333333333337</v>
      </c>
      <c r="F20" t="s">
        <v>228</v>
      </c>
      <c r="G20" t="s">
        <v>223</v>
      </c>
      <c r="H20" t="str">
        <f>TEXT(tblAppointments[[#This Row],[appointment_date]], "MMMM")</f>
        <v>February</v>
      </c>
      <c r="I20">
        <f>YEAR(tblAppointments[[#This Row],[appointment_date]])</f>
        <v>2023</v>
      </c>
      <c r="J20" s="4" t="str">
        <f>VLOOKUP(tblAppointments[[#This Row],[patient_id]],tblPatients[[patient_id]:[Age_Group]],12,FALSE)</f>
        <v>David Smith</v>
      </c>
      <c r="K20" s="4" t="str">
        <f>VLOOKUP(tblAppointments[[#This Row],[doctor_id]],tblDoctors[[doctor_id]:[Full_name]],9,FALSE)</f>
        <v>David Taylor</v>
      </c>
    </row>
    <row r="21" spans="1:11" x14ac:dyDescent="0.35">
      <c r="A21" t="s">
        <v>244</v>
      </c>
      <c r="B21" t="s">
        <v>72</v>
      </c>
      <c r="C21" t="s">
        <v>193</v>
      </c>
      <c r="D21" s="1">
        <v>45265</v>
      </c>
      <c r="E21" s="2">
        <v>0.63541666666666663</v>
      </c>
      <c r="F21" t="s">
        <v>222</v>
      </c>
      <c r="G21" t="s">
        <v>234</v>
      </c>
      <c r="H21" t="str">
        <f>TEXT(tblAppointments[[#This Row],[appointment_date]], "MMMM")</f>
        <v>December</v>
      </c>
      <c r="I21">
        <f>YEAR(tblAppointments[[#This Row],[appointment_date]])</f>
        <v>2023</v>
      </c>
      <c r="J21" s="4" t="str">
        <f>VLOOKUP(tblAppointments[[#This Row],[patient_id]],tblPatients[[patient_id]:[Age_Group]],12,FALSE)</f>
        <v>Alex Taylor</v>
      </c>
      <c r="K21" s="4" t="str">
        <f>VLOOKUP(tblAppointments[[#This Row],[doctor_id]],tblDoctors[[doctor_id]:[Full_name]],9,FALSE)</f>
        <v>Jane Smith</v>
      </c>
    </row>
    <row r="22" spans="1:11" x14ac:dyDescent="0.35">
      <c r="A22" t="s">
        <v>245</v>
      </c>
      <c r="B22" t="s">
        <v>120</v>
      </c>
      <c r="C22" t="s">
        <v>207</v>
      </c>
      <c r="D22" s="1">
        <v>45040</v>
      </c>
      <c r="E22" s="2">
        <v>0.41666666666666669</v>
      </c>
      <c r="F22" t="s">
        <v>217</v>
      </c>
      <c r="G22" t="s">
        <v>220</v>
      </c>
      <c r="H22" t="str">
        <f>TEXT(tblAppointments[[#This Row],[appointment_date]], "MMMM")</f>
        <v>April</v>
      </c>
      <c r="I22">
        <f>YEAR(tblAppointments[[#This Row],[appointment_date]])</f>
        <v>2023</v>
      </c>
      <c r="J22" s="4" t="str">
        <f>VLOOKUP(tblAppointments[[#This Row],[patient_id]],tblPatients[[patient_id]:[Age_Group]],12,FALSE)</f>
        <v>Alex Moore</v>
      </c>
      <c r="K22" s="4" t="str">
        <f>VLOOKUP(tblAppointments[[#This Row],[doctor_id]],tblDoctors[[doctor_id]:[Full_name]],9,FALSE)</f>
        <v>Sarah Smith</v>
      </c>
    </row>
    <row r="23" spans="1:11" x14ac:dyDescent="0.35">
      <c r="A23" t="s">
        <v>246</v>
      </c>
      <c r="B23" t="s">
        <v>39</v>
      </c>
      <c r="C23" t="s">
        <v>185</v>
      </c>
      <c r="D23" s="1">
        <v>45244</v>
      </c>
      <c r="E23" s="2">
        <v>0.54166666666666663</v>
      </c>
      <c r="F23" t="s">
        <v>222</v>
      </c>
      <c r="G23" t="s">
        <v>220</v>
      </c>
      <c r="H23" t="str">
        <f>TEXT(tblAppointments[[#This Row],[appointment_date]], "MMMM")</f>
        <v>November</v>
      </c>
      <c r="I23">
        <f>YEAR(tblAppointments[[#This Row],[appointment_date]])</f>
        <v>2023</v>
      </c>
      <c r="J23" s="4" t="str">
        <f>VLOOKUP(tblAppointments[[#This Row],[patient_id]],tblPatients[[patient_id]:[Age_Group]],12,FALSE)</f>
        <v>David Wilson</v>
      </c>
      <c r="K23" s="4" t="str">
        <f>VLOOKUP(tblAppointments[[#This Row],[doctor_id]],tblDoctors[[doctor_id]:[Full_name]],9,FALSE)</f>
        <v>David Taylor</v>
      </c>
    </row>
    <row r="24" spans="1:11" x14ac:dyDescent="0.35">
      <c r="A24" t="s">
        <v>247</v>
      </c>
      <c r="B24" t="s">
        <v>170</v>
      </c>
      <c r="C24" t="s">
        <v>207</v>
      </c>
      <c r="D24" s="1">
        <v>45055</v>
      </c>
      <c r="E24" s="2">
        <v>0.60416666666666663</v>
      </c>
      <c r="F24" t="s">
        <v>232</v>
      </c>
      <c r="G24" t="s">
        <v>223</v>
      </c>
      <c r="H24" t="str">
        <f>TEXT(tblAppointments[[#This Row],[appointment_date]], "MMMM")</f>
        <v>May</v>
      </c>
      <c r="I24">
        <f>YEAR(tblAppointments[[#This Row],[appointment_date]])</f>
        <v>2023</v>
      </c>
      <c r="J24" s="4" t="str">
        <f>VLOOKUP(tblAppointments[[#This Row],[patient_id]],tblPatients[[patient_id]:[Age_Group]],12,FALSE)</f>
        <v>Jane Moore</v>
      </c>
      <c r="K24" s="4" t="str">
        <f>VLOOKUP(tblAppointments[[#This Row],[doctor_id]],tblDoctors[[doctor_id]:[Full_name]],9,FALSE)</f>
        <v>Sarah Smith</v>
      </c>
    </row>
    <row r="25" spans="1:11" x14ac:dyDescent="0.35">
      <c r="A25" t="s">
        <v>248</v>
      </c>
      <c r="B25" t="s">
        <v>175</v>
      </c>
      <c r="C25" t="s">
        <v>205</v>
      </c>
      <c r="D25" s="1">
        <v>45098</v>
      </c>
      <c r="E25" s="2">
        <v>0.33333333333333331</v>
      </c>
      <c r="F25" t="s">
        <v>228</v>
      </c>
      <c r="G25" t="s">
        <v>234</v>
      </c>
      <c r="H25" t="str">
        <f>TEXT(tblAppointments[[#This Row],[appointment_date]], "MMMM")</f>
        <v>June</v>
      </c>
      <c r="I25">
        <f>YEAR(tblAppointments[[#This Row],[appointment_date]])</f>
        <v>2023</v>
      </c>
      <c r="J25" s="4" t="str">
        <f>VLOOKUP(tblAppointments[[#This Row],[patient_id]],tblPatients[[patient_id]:[Age_Group]],12,FALSE)</f>
        <v>David Moore</v>
      </c>
      <c r="K25" s="4" t="str">
        <f>VLOOKUP(tblAppointments[[#This Row],[doctor_id]],tblDoctors[[doctor_id]:[Full_name]],9,FALSE)</f>
        <v>Linda Brown</v>
      </c>
    </row>
    <row r="26" spans="1:11" x14ac:dyDescent="0.35">
      <c r="A26" t="s">
        <v>249</v>
      </c>
      <c r="B26" t="s">
        <v>126</v>
      </c>
      <c r="C26" t="s">
        <v>185</v>
      </c>
      <c r="D26" s="1">
        <v>44982</v>
      </c>
      <c r="E26" s="2">
        <v>0.33333333333333331</v>
      </c>
      <c r="F26" t="s">
        <v>232</v>
      </c>
      <c r="G26" t="s">
        <v>220</v>
      </c>
      <c r="H26" t="str">
        <f>TEXT(tblAppointments[[#This Row],[appointment_date]], "MMMM")</f>
        <v>February</v>
      </c>
      <c r="I26">
        <f>YEAR(tblAppointments[[#This Row],[appointment_date]])</f>
        <v>2023</v>
      </c>
      <c r="J26" s="4" t="str">
        <f>VLOOKUP(tblAppointments[[#This Row],[patient_id]],tblPatients[[patient_id]:[Age_Group]],12,FALSE)</f>
        <v>Emily Moore</v>
      </c>
      <c r="K26" s="4" t="str">
        <f>VLOOKUP(tblAppointments[[#This Row],[doctor_id]],tblDoctors[[doctor_id]:[Full_name]],9,FALSE)</f>
        <v>David Taylor</v>
      </c>
    </row>
    <row r="27" spans="1:11" x14ac:dyDescent="0.35">
      <c r="A27" t="s">
        <v>250</v>
      </c>
      <c r="B27" t="s">
        <v>168</v>
      </c>
      <c r="C27" t="s">
        <v>200</v>
      </c>
      <c r="D27" s="1">
        <v>45002</v>
      </c>
      <c r="E27" s="2">
        <v>0.59375</v>
      </c>
      <c r="F27" t="s">
        <v>232</v>
      </c>
      <c r="G27" t="s">
        <v>223</v>
      </c>
      <c r="H27" t="str">
        <f>TEXT(tblAppointments[[#This Row],[appointment_date]], "MMMM")</f>
        <v>March</v>
      </c>
      <c r="I27">
        <f>YEAR(tblAppointments[[#This Row],[appointment_date]])</f>
        <v>2023</v>
      </c>
      <c r="J27" s="4" t="str">
        <f>VLOOKUP(tblAppointments[[#This Row],[patient_id]],tblPatients[[patient_id]:[Age_Group]],12,FALSE)</f>
        <v>Michael Taylor</v>
      </c>
      <c r="K27" s="4" t="str">
        <f>VLOOKUP(tblAppointments[[#This Row],[doctor_id]],tblDoctors[[doctor_id]:[Full_name]],9,FALSE)</f>
        <v>Alex Davis</v>
      </c>
    </row>
    <row r="28" spans="1:11" x14ac:dyDescent="0.35">
      <c r="A28" t="s">
        <v>251</v>
      </c>
      <c r="B28" t="s">
        <v>39</v>
      </c>
      <c r="C28" t="s">
        <v>198</v>
      </c>
      <c r="D28" s="1">
        <v>45244</v>
      </c>
      <c r="E28" s="2">
        <v>0.53125</v>
      </c>
      <c r="F28" t="s">
        <v>217</v>
      </c>
      <c r="G28" t="s">
        <v>218</v>
      </c>
      <c r="H28" t="str">
        <f>TEXT(tblAppointments[[#This Row],[appointment_date]], "MMMM")</f>
        <v>November</v>
      </c>
      <c r="I28">
        <f>YEAR(tblAppointments[[#This Row],[appointment_date]])</f>
        <v>2023</v>
      </c>
      <c r="J28" s="4" t="str">
        <f>VLOOKUP(tblAppointments[[#This Row],[patient_id]],tblPatients[[patient_id]:[Age_Group]],12,FALSE)</f>
        <v>David Wilson</v>
      </c>
      <c r="K28" s="4" t="str">
        <f>VLOOKUP(tblAppointments[[#This Row],[doctor_id]],tblDoctors[[doctor_id]:[Full_name]],9,FALSE)</f>
        <v>Sarah Taylor</v>
      </c>
    </row>
    <row r="29" spans="1:11" x14ac:dyDescent="0.35">
      <c r="A29" t="s">
        <v>252</v>
      </c>
      <c r="B29" t="s">
        <v>67</v>
      </c>
      <c r="C29" t="s">
        <v>200</v>
      </c>
      <c r="D29" s="1">
        <v>45228</v>
      </c>
      <c r="E29" s="2">
        <v>0.64583333333333337</v>
      </c>
      <c r="F29" t="s">
        <v>228</v>
      </c>
      <c r="G29" t="s">
        <v>220</v>
      </c>
      <c r="H29" t="str">
        <f>TEXT(tblAppointments[[#This Row],[appointment_date]], "MMMM")</f>
        <v>October</v>
      </c>
      <c r="I29">
        <f>YEAR(tblAppointments[[#This Row],[appointment_date]])</f>
        <v>2023</v>
      </c>
      <c r="J29" s="4" t="str">
        <f>VLOOKUP(tblAppointments[[#This Row],[patient_id]],tblPatients[[patient_id]:[Age_Group]],12,FALSE)</f>
        <v>Laura Davis</v>
      </c>
      <c r="K29" s="4" t="str">
        <f>VLOOKUP(tblAppointments[[#This Row],[doctor_id]],tblDoctors[[doctor_id]:[Full_name]],9,FALSE)</f>
        <v>Alex Davis</v>
      </c>
    </row>
    <row r="30" spans="1:11" x14ac:dyDescent="0.35">
      <c r="A30" t="s">
        <v>253</v>
      </c>
      <c r="B30" t="s">
        <v>79</v>
      </c>
      <c r="C30" t="s">
        <v>209</v>
      </c>
      <c r="D30" s="1">
        <v>45102</v>
      </c>
      <c r="E30" s="2">
        <v>0.60416666666666663</v>
      </c>
      <c r="F30" t="s">
        <v>228</v>
      </c>
      <c r="G30" t="s">
        <v>234</v>
      </c>
      <c r="H30" t="str">
        <f>TEXT(tblAppointments[[#This Row],[appointment_date]], "MMMM")</f>
        <v>June</v>
      </c>
      <c r="I30">
        <f>YEAR(tblAppointments[[#This Row],[appointment_date]])</f>
        <v>2023</v>
      </c>
      <c r="J30" s="4" t="str">
        <f>VLOOKUP(tblAppointments[[#This Row],[patient_id]],tblPatients[[patient_id]:[Age_Group]],12,FALSE)</f>
        <v>Michael Taylor</v>
      </c>
      <c r="K30" s="4" t="str">
        <f>VLOOKUP(tblAppointments[[#This Row],[doctor_id]],tblDoctors[[doctor_id]:[Full_name]],9,FALSE)</f>
        <v>Linda Wilson</v>
      </c>
    </row>
    <row r="31" spans="1:11" x14ac:dyDescent="0.35">
      <c r="A31" t="s">
        <v>254</v>
      </c>
      <c r="B31" t="s">
        <v>114</v>
      </c>
      <c r="C31" t="s">
        <v>198</v>
      </c>
      <c r="D31" s="1">
        <v>45167</v>
      </c>
      <c r="E31" s="2">
        <v>0.55208333333333337</v>
      </c>
      <c r="F31" t="s">
        <v>228</v>
      </c>
      <c r="G31" t="s">
        <v>234</v>
      </c>
      <c r="H31" t="str">
        <f>TEXT(tblAppointments[[#This Row],[appointment_date]], "MMMM")</f>
        <v>August</v>
      </c>
      <c r="I31">
        <f>YEAR(tblAppointments[[#This Row],[appointment_date]])</f>
        <v>2023</v>
      </c>
      <c r="J31" s="4" t="str">
        <f>VLOOKUP(tblAppointments[[#This Row],[patient_id]],tblPatients[[patient_id]:[Age_Group]],12,FALSE)</f>
        <v>John Taylor</v>
      </c>
      <c r="K31" s="4" t="str">
        <f>VLOOKUP(tblAppointments[[#This Row],[doctor_id]],tblDoctors[[doctor_id]:[Full_name]],9,FALSE)</f>
        <v>Sarah Taylor</v>
      </c>
    </row>
    <row r="32" spans="1:11" x14ac:dyDescent="0.35">
      <c r="A32" t="s">
        <v>255</v>
      </c>
      <c r="B32" t="s">
        <v>114</v>
      </c>
      <c r="C32" t="s">
        <v>200</v>
      </c>
      <c r="D32" s="1">
        <v>45020</v>
      </c>
      <c r="E32" s="2">
        <v>0.4375</v>
      </c>
      <c r="F32" t="s">
        <v>228</v>
      </c>
      <c r="G32" t="s">
        <v>234</v>
      </c>
      <c r="H32" t="str">
        <f>TEXT(tblAppointments[[#This Row],[appointment_date]], "MMMM")</f>
        <v>April</v>
      </c>
      <c r="I32">
        <f>YEAR(tblAppointments[[#This Row],[appointment_date]])</f>
        <v>2023</v>
      </c>
      <c r="J32" s="4" t="str">
        <f>VLOOKUP(tblAppointments[[#This Row],[patient_id]],tblPatients[[patient_id]:[Age_Group]],12,FALSE)</f>
        <v>John Taylor</v>
      </c>
      <c r="K32" s="4" t="str">
        <f>VLOOKUP(tblAppointments[[#This Row],[doctor_id]],tblDoctors[[doctor_id]:[Full_name]],9,FALSE)</f>
        <v>Alex Davis</v>
      </c>
    </row>
    <row r="33" spans="1:11" x14ac:dyDescent="0.35">
      <c r="A33" t="s">
        <v>256</v>
      </c>
      <c r="B33" t="s">
        <v>172</v>
      </c>
      <c r="C33" t="s">
        <v>198</v>
      </c>
      <c r="D33" s="1">
        <v>45236</v>
      </c>
      <c r="E33" s="2">
        <v>0.44791666666666669</v>
      </c>
      <c r="F33" t="s">
        <v>228</v>
      </c>
      <c r="G33" t="s">
        <v>218</v>
      </c>
      <c r="H33" t="str">
        <f>TEXT(tblAppointments[[#This Row],[appointment_date]], "MMMM")</f>
        <v>November</v>
      </c>
      <c r="I33">
        <f>YEAR(tblAppointments[[#This Row],[appointment_date]])</f>
        <v>2023</v>
      </c>
      <c r="J33" s="4" t="str">
        <f>VLOOKUP(tblAppointments[[#This Row],[patient_id]],tblPatients[[patient_id]:[Age_Group]],12,FALSE)</f>
        <v>Emily Miller</v>
      </c>
      <c r="K33" s="4" t="str">
        <f>VLOOKUP(tblAppointments[[#This Row],[doctor_id]],tblDoctors[[doctor_id]:[Full_name]],9,FALSE)</f>
        <v>Sarah Taylor</v>
      </c>
    </row>
    <row r="34" spans="1:11" x14ac:dyDescent="0.35">
      <c r="A34" t="s">
        <v>257</v>
      </c>
      <c r="B34" t="s">
        <v>96</v>
      </c>
      <c r="C34" t="s">
        <v>198</v>
      </c>
      <c r="D34" s="1">
        <v>45192</v>
      </c>
      <c r="E34" s="2">
        <v>0.73958333333333337</v>
      </c>
      <c r="F34" t="s">
        <v>217</v>
      </c>
      <c r="G34" t="s">
        <v>220</v>
      </c>
      <c r="H34" t="str">
        <f>TEXT(tblAppointments[[#This Row],[appointment_date]], "MMMM")</f>
        <v>September</v>
      </c>
      <c r="I34">
        <f>YEAR(tblAppointments[[#This Row],[appointment_date]])</f>
        <v>2023</v>
      </c>
      <c r="J34" s="4" t="str">
        <f>VLOOKUP(tblAppointments[[#This Row],[patient_id]],tblPatients[[patient_id]:[Age_Group]],12,FALSE)</f>
        <v>Michael Wilson</v>
      </c>
      <c r="K34" s="4" t="str">
        <f>VLOOKUP(tblAppointments[[#This Row],[doctor_id]],tblDoctors[[doctor_id]:[Full_name]],9,FALSE)</f>
        <v>Sarah Taylor</v>
      </c>
    </row>
    <row r="35" spans="1:11" x14ac:dyDescent="0.35">
      <c r="A35" t="s">
        <v>258</v>
      </c>
      <c r="B35" t="s">
        <v>148</v>
      </c>
      <c r="C35" t="s">
        <v>195</v>
      </c>
      <c r="D35" s="1">
        <v>45090</v>
      </c>
      <c r="E35" s="2">
        <v>0.47916666666666669</v>
      </c>
      <c r="F35" t="s">
        <v>222</v>
      </c>
      <c r="G35" t="s">
        <v>220</v>
      </c>
      <c r="H35" t="str">
        <f>TEXT(tblAppointments[[#This Row],[appointment_date]], "MMMM")</f>
        <v>June</v>
      </c>
      <c r="I35">
        <f>YEAR(tblAppointments[[#This Row],[appointment_date]])</f>
        <v>2023</v>
      </c>
      <c r="J35" s="4" t="str">
        <f>VLOOKUP(tblAppointments[[#This Row],[patient_id]],tblPatients[[patient_id]:[Age_Group]],12,FALSE)</f>
        <v>Jane Wilson</v>
      </c>
      <c r="K35" s="4" t="str">
        <f>VLOOKUP(tblAppointments[[#This Row],[doctor_id]],tblDoctors[[doctor_id]:[Full_name]],9,FALSE)</f>
        <v>David Jones</v>
      </c>
    </row>
    <row r="36" spans="1:11" x14ac:dyDescent="0.35">
      <c r="A36" t="s">
        <v>259</v>
      </c>
      <c r="B36" t="s">
        <v>141</v>
      </c>
      <c r="C36" t="s">
        <v>193</v>
      </c>
      <c r="D36" s="1">
        <v>45034</v>
      </c>
      <c r="E36" s="2">
        <v>0.36458333333333331</v>
      </c>
      <c r="F36" t="s">
        <v>232</v>
      </c>
      <c r="G36" t="s">
        <v>218</v>
      </c>
      <c r="H36" t="str">
        <f>TEXT(tblAppointments[[#This Row],[appointment_date]], "MMMM")</f>
        <v>April</v>
      </c>
      <c r="I36">
        <f>YEAR(tblAppointments[[#This Row],[appointment_date]])</f>
        <v>2023</v>
      </c>
      <c r="J36" s="4" t="str">
        <f>VLOOKUP(tblAppointments[[#This Row],[patient_id]],tblPatients[[patient_id]:[Age_Group]],12,FALSE)</f>
        <v>Michael Wilson</v>
      </c>
      <c r="K36" s="4" t="str">
        <f>VLOOKUP(tblAppointments[[#This Row],[doctor_id]],tblDoctors[[doctor_id]:[Full_name]],9,FALSE)</f>
        <v>Jane Smith</v>
      </c>
    </row>
    <row r="37" spans="1:11" x14ac:dyDescent="0.35">
      <c r="A37" t="s">
        <v>260</v>
      </c>
      <c r="B37" t="s">
        <v>134</v>
      </c>
      <c r="C37" t="s">
        <v>193</v>
      </c>
      <c r="D37" s="1">
        <v>44934</v>
      </c>
      <c r="E37" s="2">
        <v>0.60416666666666663</v>
      </c>
      <c r="F37" t="s">
        <v>228</v>
      </c>
      <c r="G37" t="s">
        <v>220</v>
      </c>
      <c r="H37" t="str">
        <f>TEXT(tblAppointments[[#This Row],[appointment_date]], "MMMM")</f>
        <v>January</v>
      </c>
      <c r="I37">
        <f>YEAR(tblAppointments[[#This Row],[appointment_date]])</f>
        <v>2023</v>
      </c>
      <c r="J37" s="4" t="str">
        <f>VLOOKUP(tblAppointments[[#This Row],[patient_id]],tblPatients[[patient_id]:[Age_Group]],12,FALSE)</f>
        <v>Michael Wilson</v>
      </c>
      <c r="K37" s="4" t="str">
        <f>VLOOKUP(tblAppointments[[#This Row],[doctor_id]],tblDoctors[[doctor_id]:[Full_name]],9,FALSE)</f>
        <v>Jane Smith</v>
      </c>
    </row>
    <row r="38" spans="1:11" x14ac:dyDescent="0.35">
      <c r="A38" t="s">
        <v>261</v>
      </c>
      <c r="B38" t="s">
        <v>126</v>
      </c>
      <c r="C38" t="s">
        <v>195</v>
      </c>
      <c r="D38" s="1">
        <v>45013</v>
      </c>
      <c r="E38" s="2">
        <v>0.45833333333333331</v>
      </c>
      <c r="F38" t="s">
        <v>222</v>
      </c>
      <c r="G38" t="s">
        <v>218</v>
      </c>
      <c r="H38" t="str">
        <f>TEXT(tblAppointments[[#This Row],[appointment_date]], "MMMM")</f>
        <v>March</v>
      </c>
      <c r="I38">
        <f>YEAR(tblAppointments[[#This Row],[appointment_date]])</f>
        <v>2023</v>
      </c>
      <c r="J38" s="4" t="str">
        <f>VLOOKUP(tblAppointments[[#This Row],[patient_id]],tblPatients[[patient_id]:[Age_Group]],12,FALSE)</f>
        <v>Emily Moore</v>
      </c>
      <c r="K38" s="4" t="str">
        <f>VLOOKUP(tblAppointments[[#This Row],[doctor_id]],tblDoctors[[doctor_id]:[Full_name]],9,FALSE)</f>
        <v>David Jones</v>
      </c>
    </row>
    <row r="39" spans="1:11" x14ac:dyDescent="0.35">
      <c r="A39" t="s">
        <v>262</v>
      </c>
      <c r="B39" t="s">
        <v>143</v>
      </c>
      <c r="C39" t="s">
        <v>207</v>
      </c>
      <c r="D39" s="1">
        <v>44980</v>
      </c>
      <c r="E39" s="2">
        <v>0.54166666666666663</v>
      </c>
      <c r="F39" t="s">
        <v>222</v>
      </c>
      <c r="G39" t="s">
        <v>218</v>
      </c>
      <c r="H39" t="str">
        <f>TEXT(tblAppointments[[#This Row],[appointment_date]], "MMMM")</f>
        <v>February</v>
      </c>
      <c r="I39">
        <f>YEAR(tblAppointments[[#This Row],[appointment_date]])</f>
        <v>2023</v>
      </c>
      <c r="J39" s="4" t="str">
        <f>VLOOKUP(tblAppointments[[#This Row],[patient_id]],tblPatients[[patient_id]:[Age_Group]],12,FALSE)</f>
        <v>Robert Williams</v>
      </c>
      <c r="K39" s="4" t="str">
        <f>VLOOKUP(tblAppointments[[#This Row],[doctor_id]],tblDoctors[[doctor_id]:[Full_name]],9,FALSE)</f>
        <v>Sarah Smith</v>
      </c>
    </row>
    <row r="40" spans="1:11" x14ac:dyDescent="0.35">
      <c r="A40" t="s">
        <v>263</v>
      </c>
      <c r="B40" t="s">
        <v>104</v>
      </c>
      <c r="C40" t="s">
        <v>189</v>
      </c>
      <c r="D40" s="1">
        <v>45033</v>
      </c>
      <c r="E40" s="2">
        <v>0.33333333333333331</v>
      </c>
      <c r="F40" t="s">
        <v>232</v>
      </c>
      <c r="G40" t="s">
        <v>218</v>
      </c>
      <c r="H40" t="str">
        <f>TEXT(tblAppointments[[#This Row],[appointment_date]], "MMMM")</f>
        <v>April</v>
      </c>
      <c r="I40">
        <f>YEAR(tblAppointments[[#This Row],[appointment_date]])</f>
        <v>2023</v>
      </c>
      <c r="J40" s="4" t="str">
        <f>VLOOKUP(tblAppointments[[#This Row],[patient_id]],tblPatients[[patient_id]:[Age_Group]],12,FALSE)</f>
        <v>Linda Johnson</v>
      </c>
      <c r="K40" s="4" t="str">
        <f>VLOOKUP(tblAppointments[[#This Row],[doctor_id]],tblDoctors[[doctor_id]:[Full_name]],9,FALSE)</f>
        <v>Jane Davis</v>
      </c>
    </row>
    <row r="41" spans="1:11" x14ac:dyDescent="0.35">
      <c r="A41" t="s">
        <v>264</v>
      </c>
      <c r="B41" t="s">
        <v>60</v>
      </c>
      <c r="C41" t="s">
        <v>207</v>
      </c>
      <c r="D41" s="1">
        <v>45012</v>
      </c>
      <c r="E41" s="2">
        <v>0.52083333333333337</v>
      </c>
      <c r="F41" t="s">
        <v>217</v>
      </c>
      <c r="G41" t="s">
        <v>234</v>
      </c>
      <c r="H41" t="str">
        <f>TEXT(tblAppointments[[#This Row],[appointment_date]], "MMMM")</f>
        <v>March</v>
      </c>
      <c r="I41">
        <f>YEAR(tblAppointments[[#This Row],[appointment_date]])</f>
        <v>2023</v>
      </c>
      <c r="J41" s="4" t="str">
        <f>VLOOKUP(tblAppointments[[#This Row],[patient_id]],tblPatients[[patient_id]:[Age_Group]],12,FALSE)</f>
        <v>Michael Taylor</v>
      </c>
      <c r="K41" s="4" t="str">
        <f>VLOOKUP(tblAppointments[[#This Row],[doctor_id]],tblDoctors[[doctor_id]:[Full_name]],9,FALSE)</f>
        <v>Sarah Smith</v>
      </c>
    </row>
    <row r="42" spans="1:11" x14ac:dyDescent="0.35">
      <c r="A42" t="s">
        <v>265</v>
      </c>
      <c r="B42" t="s">
        <v>39</v>
      </c>
      <c r="C42" t="s">
        <v>185</v>
      </c>
      <c r="D42" s="1">
        <v>44927</v>
      </c>
      <c r="E42" s="2">
        <v>0.58333333333333337</v>
      </c>
      <c r="F42" t="s">
        <v>226</v>
      </c>
      <c r="G42" t="s">
        <v>220</v>
      </c>
      <c r="H42" t="str">
        <f>TEXT(tblAppointments[[#This Row],[appointment_date]], "MMMM")</f>
        <v>January</v>
      </c>
      <c r="I42">
        <f>YEAR(tblAppointments[[#This Row],[appointment_date]])</f>
        <v>2023</v>
      </c>
      <c r="J42" s="4" t="str">
        <f>VLOOKUP(tblAppointments[[#This Row],[patient_id]],tblPatients[[patient_id]:[Age_Group]],12,FALSE)</f>
        <v>David Wilson</v>
      </c>
      <c r="K42" s="4" t="str">
        <f>VLOOKUP(tblAppointments[[#This Row],[doctor_id]],tblDoctors[[doctor_id]:[Full_name]],9,FALSE)</f>
        <v>David Taylor</v>
      </c>
    </row>
    <row r="43" spans="1:11" x14ac:dyDescent="0.35">
      <c r="A43" t="s">
        <v>266</v>
      </c>
      <c r="B43" t="s">
        <v>141</v>
      </c>
      <c r="C43" t="s">
        <v>185</v>
      </c>
      <c r="D43" s="1">
        <v>45006</v>
      </c>
      <c r="E43" s="2">
        <v>0.46875</v>
      </c>
      <c r="F43" t="s">
        <v>226</v>
      </c>
      <c r="G43" t="s">
        <v>218</v>
      </c>
      <c r="H43" t="str">
        <f>TEXT(tblAppointments[[#This Row],[appointment_date]], "MMMM")</f>
        <v>March</v>
      </c>
      <c r="I43">
        <f>YEAR(tblAppointments[[#This Row],[appointment_date]])</f>
        <v>2023</v>
      </c>
      <c r="J43" s="4" t="str">
        <f>VLOOKUP(tblAppointments[[#This Row],[patient_id]],tblPatients[[patient_id]:[Age_Group]],12,FALSE)</f>
        <v>Michael Wilson</v>
      </c>
      <c r="K43" s="4" t="str">
        <f>VLOOKUP(tblAppointments[[#This Row],[doctor_id]],tblDoctors[[doctor_id]:[Full_name]],9,FALSE)</f>
        <v>David Taylor</v>
      </c>
    </row>
    <row r="44" spans="1:11" x14ac:dyDescent="0.35">
      <c r="A44" t="s">
        <v>267</v>
      </c>
      <c r="B44" t="s">
        <v>136</v>
      </c>
      <c r="C44" t="s">
        <v>198</v>
      </c>
      <c r="D44" s="1">
        <v>45014</v>
      </c>
      <c r="E44" s="2">
        <v>0.38541666666666669</v>
      </c>
      <c r="F44" t="s">
        <v>222</v>
      </c>
      <c r="G44" t="s">
        <v>220</v>
      </c>
      <c r="H44" t="str">
        <f>TEXT(tblAppointments[[#This Row],[appointment_date]], "MMMM")</f>
        <v>March</v>
      </c>
      <c r="I44">
        <f>YEAR(tblAppointments[[#This Row],[appointment_date]])</f>
        <v>2023</v>
      </c>
      <c r="J44" s="4" t="str">
        <f>VLOOKUP(tblAppointments[[#This Row],[patient_id]],tblPatients[[patient_id]:[Age_Group]],12,FALSE)</f>
        <v>Alex Smith</v>
      </c>
      <c r="K44" s="4" t="str">
        <f>VLOOKUP(tblAppointments[[#This Row],[doctor_id]],tblDoctors[[doctor_id]:[Full_name]],9,FALSE)</f>
        <v>Sarah Taylor</v>
      </c>
    </row>
    <row r="45" spans="1:11" x14ac:dyDescent="0.35">
      <c r="A45" t="s">
        <v>268</v>
      </c>
      <c r="B45" t="s">
        <v>129</v>
      </c>
      <c r="C45" t="s">
        <v>200</v>
      </c>
      <c r="D45" s="1">
        <v>45189</v>
      </c>
      <c r="E45" s="2">
        <v>0.52083333333333337</v>
      </c>
      <c r="F45" t="s">
        <v>232</v>
      </c>
      <c r="G45" t="s">
        <v>234</v>
      </c>
      <c r="H45" t="str">
        <f>TEXT(tblAppointments[[#This Row],[appointment_date]], "MMMM")</f>
        <v>September</v>
      </c>
      <c r="I45">
        <f>YEAR(tblAppointments[[#This Row],[appointment_date]])</f>
        <v>2023</v>
      </c>
      <c r="J45" s="4" t="str">
        <f>VLOOKUP(tblAppointments[[#This Row],[patient_id]],tblPatients[[patient_id]:[Age_Group]],12,FALSE)</f>
        <v>Robert Miller</v>
      </c>
      <c r="K45" s="4" t="str">
        <f>VLOOKUP(tblAppointments[[#This Row],[doctor_id]],tblDoctors[[doctor_id]:[Full_name]],9,FALSE)</f>
        <v>Alex Davis</v>
      </c>
    </row>
    <row r="46" spans="1:11" x14ac:dyDescent="0.35">
      <c r="A46" t="s">
        <v>269</v>
      </c>
      <c r="B46" t="s">
        <v>60</v>
      </c>
      <c r="C46" t="s">
        <v>200</v>
      </c>
      <c r="D46" s="1">
        <v>45197</v>
      </c>
      <c r="E46" s="2">
        <v>0.70833333333333337</v>
      </c>
      <c r="F46" t="s">
        <v>226</v>
      </c>
      <c r="G46" t="s">
        <v>218</v>
      </c>
      <c r="H46" t="str">
        <f>TEXT(tblAppointments[[#This Row],[appointment_date]], "MMMM")</f>
        <v>September</v>
      </c>
      <c r="I46">
        <f>YEAR(tblAppointments[[#This Row],[appointment_date]])</f>
        <v>2023</v>
      </c>
      <c r="J46" s="4" t="str">
        <f>VLOOKUP(tblAppointments[[#This Row],[patient_id]],tblPatients[[patient_id]:[Age_Group]],12,FALSE)</f>
        <v>Michael Taylor</v>
      </c>
      <c r="K46" s="4" t="str">
        <f>VLOOKUP(tblAppointments[[#This Row],[doctor_id]],tblDoctors[[doctor_id]:[Full_name]],9,FALSE)</f>
        <v>Alex Davis</v>
      </c>
    </row>
    <row r="47" spans="1:11" x14ac:dyDescent="0.35">
      <c r="A47" t="s">
        <v>270</v>
      </c>
      <c r="B47" t="s">
        <v>88</v>
      </c>
      <c r="C47" t="s">
        <v>193</v>
      </c>
      <c r="D47" s="1">
        <v>45280</v>
      </c>
      <c r="E47" s="2">
        <v>0.55208333333333337</v>
      </c>
      <c r="F47" t="s">
        <v>222</v>
      </c>
      <c r="G47" t="s">
        <v>223</v>
      </c>
      <c r="H47" t="str">
        <f>TEXT(tblAppointments[[#This Row],[appointment_date]], "MMMM")</f>
        <v>December</v>
      </c>
      <c r="I47">
        <f>YEAR(tblAppointments[[#This Row],[appointment_date]])</f>
        <v>2023</v>
      </c>
      <c r="J47" s="4" t="str">
        <f>VLOOKUP(tblAppointments[[#This Row],[patient_id]],tblPatients[[patient_id]:[Age_Group]],12,FALSE)</f>
        <v>Sarah Miller</v>
      </c>
      <c r="K47" s="4" t="str">
        <f>VLOOKUP(tblAppointments[[#This Row],[doctor_id]],tblDoctors[[doctor_id]:[Full_name]],9,FALSE)</f>
        <v>Jane Smith</v>
      </c>
    </row>
    <row r="48" spans="1:11" x14ac:dyDescent="0.35">
      <c r="A48" t="s">
        <v>271</v>
      </c>
      <c r="B48" t="s">
        <v>132</v>
      </c>
      <c r="C48" t="s">
        <v>202</v>
      </c>
      <c r="D48" s="1">
        <v>45048</v>
      </c>
      <c r="E48" s="2">
        <v>0.45833333333333331</v>
      </c>
      <c r="F48" t="s">
        <v>217</v>
      </c>
      <c r="G48" t="s">
        <v>234</v>
      </c>
      <c r="H48" t="str">
        <f>TEXT(tblAppointments[[#This Row],[appointment_date]], "MMMM")</f>
        <v>May</v>
      </c>
      <c r="I48">
        <f>YEAR(tblAppointments[[#This Row],[appointment_date]])</f>
        <v>2023</v>
      </c>
      <c r="J48" s="4" t="str">
        <f>VLOOKUP(tblAppointments[[#This Row],[patient_id]],tblPatients[[patient_id]:[Age_Group]],12,FALSE)</f>
        <v>Alex Moore</v>
      </c>
      <c r="K48" s="4" t="str">
        <f>VLOOKUP(tblAppointments[[#This Row],[doctor_id]],tblDoctors[[doctor_id]:[Full_name]],9,FALSE)</f>
        <v>Robert Davis</v>
      </c>
    </row>
    <row r="49" spans="1:11" x14ac:dyDescent="0.35">
      <c r="A49" t="s">
        <v>272</v>
      </c>
      <c r="B49" t="s">
        <v>11</v>
      </c>
      <c r="C49" t="s">
        <v>207</v>
      </c>
      <c r="D49" s="1">
        <v>44942</v>
      </c>
      <c r="E49" s="2">
        <v>0.65625</v>
      </c>
      <c r="F49" t="s">
        <v>226</v>
      </c>
      <c r="G49" t="s">
        <v>223</v>
      </c>
      <c r="H49" t="str">
        <f>TEXT(tblAppointments[[#This Row],[appointment_date]], "MMMM")</f>
        <v>January</v>
      </c>
      <c r="I49">
        <f>YEAR(tblAppointments[[#This Row],[appointment_date]])</f>
        <v>2023</v>
      </c>
      <c r="J49" s="4" t="str">
        <f>VLOOKUP(tblAppointments[[#This Row],[patient_id]],tblPatients[[patient_id]:[Age_Group]],12,FALSE)</f>
        <v>David Williams</v>
      </c>
      <c r="K49" s="4" t="str">
        <f>VLOOKUP(tblAppointments[[#This Row],[doctor_id]],tblDoctors[[doctor_id]:[Full_name]],9,FALSE)</f>
        <v>Sarah Smith</v>
      </c>
    </row>
    <row r="50" spans="1:11" x14ac:dyDescent="0.35">
      <c r="A50" t="s">
        <v>273</v>
      </c>
      <c r="B50" t="s">
        <v>39</v>
      </c>
      <c r="C50" t="s">
        <v>209</v>
      </c>
      <c r="D50" s="1">
        <v>45046</v>
      </c>
      <c r="E50" s="2">
        <v>0.64583333333333337</v>
      </c>
      <c r="F50" t="s">
        <v>222</v>
      </c>
      <c r="G50" t="s">
        <v>220</v>
      </c>
      <c r="H50" t="str">
        <f>TEXT(tblAppointments[[#This Row],[appointment_date]], "MMMM")</f>
        <v>April</v>
      </c>
      <c r="I50">
        <f>YEAR(tblAppointments[[#This Row],[appointment_date]])</f>
        <v>2023</v>
      </c>
      <c r="J50" s="4" t="str">
        <f>VLOOKUP(tblAppointments[[#This Row],[patient_id]],tblPatients[[patient_id]:[Age_Group]],12,FALSE)</f>
        <v>David Wilson</v>
      </c>
      <c r="K50" s="4" t="str">
        <f>VLOOKUP(tblAppointments[[#This Row],[doctor_id]],tblDoctors[[doctor_id]:[Full_name]],9,FALSE)</f>
        <v>Linda Wilson</v>
      </c>
    </row>
    <row r="51" spans="1:11" x14ac:dyDescent="0.35">
      <c r="A51" t="s">
        <v>274</v>
      </c>
      <c r="B51" t="s">
        <v>165</v>
      </c>
      <c r="C51" t="s">
        <v>205</v>
      </c>
      <c r="D51" s="1">
        <v>45154</v>
      </c>
      <c r="E51" s="2">
        <v>0.625</v>
      </c>
      <c r="F51" t="s">
        <v>222</v>
      </c>
      <c r="G51" t="s">
        <v>220</v>
      </c>
      <c r="H51" t="str">
        <f>TEXT(tblAppointments[[#This Row],[appointment_date]], "MMMM")</f>
        <v>August</v>
      </c>
      <c r="I51">
        <f>YEAR(tblAppointments[[#This Row],[appointment_date]])</f>
        <v>2023</v>
      </c>
      <c r="J51" s="4" t="str">
        <f>VLOOKUP(tblAppointments[[#This Row],[patient_id]],tblPatients[[patient_id]:[Age_Group]],12,FALSE)</f>
        <v>Linda Miller</v>
      </c>
      <c r="K51" s="4" t="str">
        <f>VLOOKUP(tblAppointments[[#This Row],[doctor_id]],tblDoctors[[doctor_id]:[Full_name]],9,FALSE)</f>
        <v>Linda Brown</v>
      </c>
    </row>
    <row r="52" spans="1:11" x14ac:dyDescent="0.35">
      <c r="A52" t="s">
        <v>275</v>
      </c>
      <c r="B52" t="s">
        <v>32</v>
      </c>
      <c r="C52" t="s">
        <v>200</v>
      </c>
      <c r="D52" s="1">
        <v>44961</v>
      </c>
      <c r="E52" s="2">
        <v>0.48958333333333331</v>
      </c>
      <c r="F52" t="s">
        <v>228</v>
      </c>
      <c r="G52" t="s">
        <v>234</v>
      </c>
      <c r="H52" t="str">
        <f>TEXT(tblAppointments[[#This Row],[appointment_date]], "MMMM")</f>
        <v>February</v>
      </c>
      <c r="I52">
        <f>YEAR(tblAppointments[[#This Row],[appointment_date]])</f>
        <v>2023</v>
      </c>
      <c r="J52" s="4" t="str">
        <f>VLOOKUP(tblAppointments[[#This Row],[patient_id]],tblPatients[[patient_id]:[Age_Group]],12,FALSE)</f>
        <v>Michael Johnson</v>
      </c>
      <c r="K52" s="4" t="str">
        <f>VLOOKUP(tblAppointments[[#This Row],[doctor_id]],tblDoctors[[doctor_id]:[Full_name]],9,FALSE)</f>
        <v>Alex Davis</v>
      </c>
    </row>
    <row r="53" spans="1:11" x14ac:dyDescent="0.35">
      <c r="A53" t="s">
        <v>276</v>
      </c>
      <c r="B53" t="s">
        <v>79</v>
      </c>
      <c r="C53" t="s">
        <v>205</v>
      </c>
      <c r="D53" s="1">
        <v>45119</v>
      </c>
      <c r="E53" s="2">
        <v>0.39583333333333331</v>
      </c>
      <c r="F53" t="s">
        <v>217</v>
      </c>
      <c r="G53" t="s">
        <v>220</v>
      </c>
      <c r="H53" t="str">
        <f>TEXT(tblAppointments[[#This Row],[appointment_date]], "MMMM")</f>
        <v>July</v>
      </c>
      <c r="I53">
        <f>YEAR(tblAppointments[[#This Row],[appointment_date]])</f>
        <v>2023</v>
      </c>
      <c r="J53" s="4" t="str">
        <f>VLOOKUP(tblAppointments[[#This Row],[patient_id]],tblPatients[[patient_id]:[Age_Group]],12,FALSE)</f>
        <v>Michael Taylor</v>
      </c>
      <c r="K53" s="4" t="str">
        <f>VLOOKUP(tblAppointments[[#This Row],[doctor_id]],tblDoctors[[doctor_id]:[Full_name]],9,FALSE)</f>
        <v>Linda Brown</v>
      </c>
    </row>
    <row r="54" spans="1:11" x14ac:dyDescent="0.35">
      <c r="A54" t="s">
        <v>277</v>
      </c>
      <c r="B54" t="s">
        <v>107</v>
      </c>
      <c r="C54" t="s">
        <v>198</v>
      </c>
      <c r="D54" s="1">
        <v>44969</v>
      </c>
      <c r="E54" s="2">
        <v>0.4375</v>
      </c>
      <c r="F54" t="s">
        <v>228</v>
      </c>
      <c r="G54" t="s">
        <v>223</v>
      </c>
      <c r="H54" t="str">
        <f>TEXT(tblAppointments[[#This Row],[appointment_date]], "MMMM")</f>
        <v>February</v>
      </c>
      <c r="I54">
        <f>YEAR(tblAppointments[[#This Row],[appointment_date]])</f>
        <v>2023</v>
      </c>
      <c r="J54" s="4" t="str">
        <f>VLOOKUP(tblAppointments[[#This Row],[patient_id]],tblPatients[[patient_id]:[Age_Group]],12,FALSE)</f>
        <v>Sarah Brown</v>
      </c>
      <c r="K54" s="4" t="str">
        <f>VLOOKUP(tblAppointments[[#This Row],[doctor_id]],tblDoctors[[doctor_id]:[Full_name]],9,FALSE)</f>
        <v>Sarah Taylor</v>
      </c>
    </row>
    <row r="55" spans="1:11" x14ac:dyDescent="0.35">
      <c r="A55" t="s">
        <v>278</v>
      </c>
      <c r="B55" t="s">
        <v>79</v>
      </c>
      <c r="C55" t="s">
        <v>205</v>
      </c>
      <c r="D55" s="1">
        <v>45276</v>
      </c>
      <c r="E55" s="2">
        <v>0.48958333333333331</v>
      </c>
      <c r="F55" t="s">
        <v>232</v>
      </c>
      <c r="G55" t="s">
        <v>218</v>
      </c>
      <c r="H55" t="str">
        <f>TEXT(tblAppointments[[#This Row],[appointment_date]], "MMMM")</f>
        <v>December</v>
      </c>
      <c r="I55">
        <f>YEAR(tblAppointments[[#This Row],[appointment_date]])</f>
        <v>2023</v>
      </c>
      <c r="J55" s="4" t="str">
        <f>VLOOKUP(tblAppointments[[#This Row],[patient_id]],tblPatients[[patient_id]:[Age_Group]],12,FALSE)</f>
        <v>Michael Taylor</v>
      </c>
      <c r="K55" s="4" t="str">
        <f>VLOOKUP(tblAppointments[[#This Row],[doctor_id]],tblDoctors[[doctor_id]:[Full_name]],9,FALSE)</f>
        <v>Linda Brown</v>
      </c>
    </row>
    <row r="56" spans="1:11" x14ac:dyDescent="0.35">
      <c r="A56" t="s">
        <v>279</v>
      </c>
      <c r="B56" t="s">
        <v>19</v>
      </c>
      <c r="C56" t="s">
        <v>209</v>
      </c>
      <c r="D56" s="1">
        <v>45205</v>
      </c>
      <c r="E56" s="2">
        <v>0.72916666666666663</v>
      </c>
      <c r="F56" t="s">
        <v>228</v>
      </c>
      <c r="G56" t="s">
        <v>218</v>
      </c>
      <c r="H56" t="str">
        <f>TEXT(tblAppointments[[#This Row],[appointment_date]], "MMMM")</f>
        <v>October</v>
      </c>
      <c r="I56">
        <f>YEAR(tblAppointments[[#This Row],[appointment_date]])</f>
        <v>2023</v>
      </c>
      <c r="J56" s="4" t="str">
        <f>VLOOKUP(tblAppointments[[#This Row],[patient_id]],tblPatients[[patient_id]:[Age_Group]],12,FALSE)</f>
        <v>Emily Smith</v>
      </c>
      <c r="K56" s="4" t="str">
        <f>VLOOKUP(tblAppointments[[#This Row],[doctor_id]],tblDoctors[[doctor_id]:[Full_name]],9,FALSE)</f>
        <v>Linda Wilson</v>
      </c>
    </row>
    <row r="57" spans="1:11" x14ac:dyDescent="0.35">
      <c r="A57" t="s">
        <v>280</v>
      </c>
      <c r="B57" t="s">
        <v>175</v>
      </c>
      <c r="C57" t="s">
        <v>195</v>
      </c>
      <c r="D57" s="1">
        <v>44928</v>
      </c>
      <c r="E57" s="2">
        <v>0.53125</v>
      </c>
      <c r="F57" t="s">
        <v>228</v>
      </c>
      <c r="G57" t="s">
        <v>218</v>
      </c>
      <c r="H57" t="str">
        <f>TEXT(tblAppointments[[#This Row],[appointment_date]], "MMMM")</f>
        <v>January</v>
      </c>
      <c r="I57">
        <f>YEAR(tblAppointments[[#This Row],[appointment_date]])</f>
        <v>2023</v>
      </c>
      <c r="J57" s="4" t="str">
        <f>VLOOKUP(tblAppointments[[#This Row],[patient_id]],tblPatients[[patient_id]:[Age_Group]],12,FALSE)</f>
        <v>David Moore</v>
      </c>
      <c r="K57" s="4" t="str">
        <f>VLOOKUP(tblAppointments[[#This Row],[doctor_id]],tblDoctors[[doctor_id]:[Full_name]],9,FALSE)</f>
        <v>David Jones</v>
      </c>
    </row>
    <row r="58" spans="1:11" x14ac:dyDescent="0.35">
      <c r="A58" t="s">
        <v>281</v>
      </c>
      <c r="B58" t="s">
        <v>120</v>
      </c>
      <c r="C58" t="s">
        <v>209</v>
      </c>
      <c r="D58" s="1">
        <v>45031</v>
      </c>
      <c r="E58" s="2">
        <v>0.73958333333333337</v>
      </c>
      <c r="F58" t="s">
        <v>226</v>
      </c>
      <c r="G58" t="s">
        <v>234</v>
      </c>
      <c r="H58" t="str">
        <f>TEXT(tblAppointments[[#This Row],[appointment_date]], "MMMM")</f>
        <v>April</v>
      </c>
      <c r="I58">
        <f>YEAR(tblAppointments[[#This Row],[appointment_date]])</f>
        <v>2023</v>
      </c>
      <c r="J58" s="4" t="str">
        <f>VLOOKUP(tblAppointments[[#This Row],[patient_id]],tblPatients[[patient_id]:[Age_Group]],12,FALSE)</f>
        <v>Alex Moore</v>
      </c>
      <c r="K58" s="4" t="str">
        <f>VLOOKUP(tblAppointments[[#This Row],[doctor_id]],tblDoctors[[doctor_id]:[Full_name]],9,FALSE)</f>
        <v>Linda Wilson</v>
      </c>
    </row>
    <row r="59" spans="1:11" x14ac:dyDescent="0.35">
      <c r="A59" t="s">
        <v>282</v>
      </c>
      <c r="B59" t="s">
        <v>132</v>
      </c>
      <c r="C59" t="s">
        <v>205</v>
      </c>
      <c r="D59" s="1">
        <v>45055</v>
      </c>
      <c r="E59" s="2">
        <v>0.55208333333333337</v>
      </c>
      <c r="F59" t="s">
        <v>222</v>
      </c>
      <c r="G59" t="s">
        <v>220</v>
      </c>
      <c r="H59" t="str">
        <f>TEXT(tblAppointments[[#This Row],[appointment_date]], "MMMM")</f>
        <v>May</v>
      </c>
      <c r="I59">
        <f>YEAR(tblAppointments[[#This Row],[appointment_date]])</f>
        <v>2023</v>
      </c>
      <c r="J59" s="4" t="str">
        <f>VLOOKUP(tblAppointments[[#This Row],[patient_id]],tblPatients[[patient_id]:[Age_Group]],12,FALSE)</f>
        <v>Alex Moore</v>
      </c>
      <c r="K59" s="4" t="str">
        <f>VLOOKUP(tblAppointments[[#This Row],[doctor_id]],tblDoctors[[doctor_id]:[Full_name]],9,FALSE)</f>
        <v>Linda Brown</v>
      </c>
    </row>
    <row r="60" spans="1:11" x14ac:dyDescent="0.35">
      <c r="A60" t="s">
        <v>283</v>
      </c>
      <c r="B60" t="s">
        <v>117</v>
      </c>
      <c r="C60" t="s">
        <v>209</v>
      </c>
      <c r="D60" s="1">
        <v>44994</v>
      </c>
      <c r="E60" s="2">
        <v>0.64583333333333337</v>
      </c>
      <c r="F60" t="s">
        <v>217</v>
      </c>
      <c r="G60" t="s">
        <v>223</v>
      </c>
      <c r="H60" t="str">
        <f>TEXT(tblAppointments[[#This Row],[appointment_date]], "MMMM")</f>
        <v>March</v>
      </c>
      <c r="I60">
        <f>YEAR(tblAppointments[[#This Row],[appointment_date]])</f>
        <v>2023</v>
      </c>
      <c r="J60" s="4" t="str">
        <f>VLOOKUP(tblAppointments[[#This Row],[patient_id]],tblPatients[[patient_id]:[Age_Group]],12,FALSE)</f>
        <v>Linda Moore</v>
      </c>
      <c r="K60" s="4" t="str">
        <f>VLOOKUP(tblAppointments[[#This Row],[doctor_id]],tblDoctors[[doctor_id]:[Full_name]],9,FALSE)</f>
        <v>Linda Wilson</v>
      </c>
    </row>
    <row r="61" spans="1:11" x14ac:dyDescent="0.35">
      <c r="A61" t="s">
        <v>284</v>
      </c>
      <c r="B61" t="s">
        <v>92</v>
      </c>
      <c r="C61" t="s">
        <v>189</v>
      </c>
      <c r="D61" s="1">
        <v>45252</v>
      </c>
      <c r="E61" s="2">
        <v>0.71875</v>
      </c>
      <c r="F61" t="s">
        <v>228</v>
      </c>
      <c r="G61" t="s">
        <v>220</v>
      </c>
      <c r="H61" t="str">
        <f>TEXT(tblAppointments[[#This Row],[appointment_date]], "MMMM")</f>
        <v>November</v>
      </c>
      <c r="I61">
        <f>YEAR(tblAppointments[[#This Row],[appointment_date]])</f>
        <v>2023</v>
      </c>
      <c r="J61" s="4" t="str">
        <f>VLOOKUP(tblAppointments[[#This Row],[patient_id]],tblPatients[[patient_id]:[Age_Group]],12,FALSE)</f>
        <v>Jane Moore</v>
      </c>
      <c r="K61" s="4" t="str">
        <f>VLOOKUP(tblAppointments[[#This Row],[doctor_id]],tblDoctors[[doctor_id]:[Full_name]],9,FALSE)</f>
        <v>Jane Davis</v>
      </c>
    </row>
    <row r="62" spans="1:11" x14ac:dyDescent="0.35">
      <c r="A62" t="s">
        <v>285</v>
      </c>
      <c r="B62" t="s">
        <v>107</v>
      </c>
      <c r="C62" t="s">
        <v>198</v>
      </c>
      <c r="D62" s="1">
        <v>44941</v>
      </c>
      <c r="E62" s="2">
        <v>0.70833333333333337</v>
      </c>
      <c r="F62" t="s">
        <v>217</v>
      </c>
      <c r="G62" t="s">
        <v>220</v>
      </c>
      <c r="H62" t="str">
        <f>TEXT(tblAppointments[[#This Row],[appointment_date]], "MMMM")</f>
        <v>January</v>
      </c>
      <c r="I62">
        <f>YEAR(tblAppointments[[#This Row],[appointment_date]])</f>
        <v>2023</v>
      </c>
      <c r="J62" s="4" t="str">
        <f>VLOOKUP(tblAppointments[[#This Row],[patient_id]],tblPatients[[patient_id]:[Age_Group]],12,FALSE)</f>
        <v>Sarah Brown</v>
      </c>
      <c r="K62" s="4" t="str">
        <f>VLOOKUP(tblAppointments[[#This Row],[doctor_id]],tblDoctors[[doctor_id]:[Full_name]],9,FALSE)</f>
        <v>Sarah Taylor</v>
      </c>
    </row>
    <row r="63" spans="1:11" x14ac:dyDescent="0.35">
      <c r="A63" t="s">
        <v>286</v>
      </c>
      <c r="B63" t="s">
        <v>67</v>
      </c>
      <c r="C63" t="s">
        <v>207</v>
      </c>
      <c r="D63" s="1">
        <v>45091</v>
      </c>
      <c r="E63" s="2">
        <v>0.63541666666666663</v>
      </c>
      <c r="F63" t="s">
        <v>228</v>
      </c>
      <c r="G63" t="s">
        <v>220</v>
      </c>
      <c r="H63" t="str">
        <f>TEXT(tblAppointments[[#This Row],[appointment_date]], "MMMM")</f>
        <v>June</v>
      </c>
      <c r="I63">
        <f>YEAR(tblAppointments[[#This Row],[appointment_date]])</f>
        <v>2023</v>
      </c>
      <c r="J63" s="4" t="str">
        <f>VLOOKUP(tblAppointments[[#This Row],[patient_id]],tblPatients[[patient_id]:[Age_Group]],12,FALSE)</f>
        <v>Laura Davis</v>
      </c>
      <c r="K63" s="4" t="str">
        <f>VLOOKUP(tblAppointments[[#This Row],[doctor_id]],tblDoctors[[doctor_id]:[Full_name]],9,FALSE)</f>
        <v>Sarah Smith</v>
      </c>
    </row>
    <row r="64" spans="1:11" x14ac:dyDescent="0.35">
      <c r="A64" t="s">
        <v>287</v>
      </c>
      <c r="B64" t="s">
        <v>178</v>
      </c>
      <c r="C64" t="s">
        <v>195</v>
      </c>
      <c r="D64" s="1">
        <v>45106</v>
      </c>
      <c r="E64" s="2">
        <v>0.375</v>
      </c>
      <c r="F64" t="s">
        <v>232</v>
      </c>
      <c r="G64" t="s">
        <v>218</v>
      </c>
      <c r="H64" t="str">
        <f>TEXT(tblAppointments[[#This Row],[appointment_date]], "MMMM")</f>
        <v>June</v>
      </c>
      <c r="I64">
        <f>YEAR(tblAppointments[[#This Row],[appointment_date]])</f>
        <v>2023</v>
      </c>
      <c r="J64" s="4" t="str">
        <f>VLOOKUP(tblAppointments[[#This Row],[patient_id]],tblPatients[[patient_id]:[Age_Group]],12,FALSE)</f>
        <v>Laura Wilson</v>
      </c>
      <c r="K64" s="4" t="str">
        <f>VLOOKUP(tblAppointments[[#This Row],[doctor_id]],tblDoctors[[doctor_id]:[Full_name]],9,FALSE)</f>
        <v>David Jones</v>
      </c>
    </row>
    <row r="65" spans="1:11" x14ac:dyDescent="0.35">
      <c r="A65" t="s">
        <v>288</v>
      </c>
      <c r="B65" t="s">
        <v>139</v>
      </c>
      <c r="C65" t="s">
        <v>200</v>
      </c>
      <c r="D65" s="1">
        <v>45077</v>
      </c>
      <c r="E65" s="2">
        <v>0.35416666666666669</v>
      </c>
      <c r="F65" t="s">
        <v>228</v>
      </c>
      <c r="G65" t="s">
        <v>223</v>
      </c>
      <c r="H65" t="str">
        <f>TEXT(tblAppointments[[#This Row],[appointment_date]], "MMMM")</f>
        <v>May</v>
      </c>
      <c r="I65">
        <f>YEAR(tblAppointments[[#This Row],[appointment_date]])</f>
        <v>2023</v>
      </c>
      <c r="J65" s="4" t="str">
        <f>VLOOKUP(tblAppointments[[#This Row],[patient_id]],tblPatients[[patient_id]:[Age_Group]],12,FALSE)</f>
        <v>David Wilson</v>
      </c>
      <c r="K65" s="4" t="str">
        <f>VLOOKUP(tblAppointments[[#This Row],[doctor_id]],tblDoctors[[doctor_id]:[Full_name]],9,FALSE)</f>
        <v>Alex Davis</v>
      </c>
    </row>
    <row r="66" spans="1:11" x14ac:dyDescent="0.35">
      <c r="A66" t="s">
        <v>289</v>
      </c>
      <c r="B66" t="s">
        <v>134</v>
      </c>
      <c r="C66" t="s">
        <v>185</v>
      </c>
      <c r="D66" s="1">
        <v>45040</v>
      </c>
      <c r="E66" s="2">
        <v>0.65625</v>
      </c>
      <c r="F66" t="s">
        <v>226</v>
      </c>
      <c r="G66" t="s">
        <v>223</v>
      </c>
      <c r="H66" t="str">
        <f>TEXT(tblAppointments[[#This Row],[appointment_date]], "MMMM")</f>
        <v>April</v>
      </c>
      <c r="I66">
        <f>YEAR(tblAppointments[[#This Row],[appointment_date]])</f>
        <v>2023</v>
      </c>
      <c r="J66" s="4" t="str">
        <f>VLOOKUP(tblAppointments[[#This Row],[patient_id]],tblPatients[[patient_id]:[Age_Group]],12,FALSE)</f>
        <v>Michael Wilson</v>
      </c>
      <c r="K66" s="4" t="str">
        <f>VLOOKUP(tblAppointments[[#This Row],[doctor_id]],tblDoctors[[doctor_id]:[Full_name]],9,FALSE)</f>
        <v>David Taylor</v>
      </c>
    </row>
    <row r="67" spans="1:11" x14ac:dyDescent="0.35">
      <c r="A67" t="s">
        <v>290</v>
      </c>
      <c r="B67" t="s">
        <v>134</v>
      </c>
      <c r="C67" t="s">
        <v>207</v>
      </c>
      <c r="D67" s="1">
        <v>45056</v>
      </c>
      <c r="E67" s="2">
        <v>0.48958333333333331</v>
      </c>
      <c r="F67" t="s">
        <v>222</v>
      </c>
      <c r="G67" t="s">
        <v>220</v>
      </c>
      <c r="H67" t="str">
        <f>TEXT(tblAppointments[[#This Row],[appointment_date]], "MMMM")</f>
        <v>May</v>
      </c>
      <c r="I67">
        <f>YEAR(tblAppointments[[#This Row],[appointment_date]])</f>
        <v>2023</v>
      </c>
      <c r="J67" s="4" t="str">
        <f>VLOOKUP(tblAppointments[[#This Row],[patient_id]],tblPatients[[patient_id]:[Age_Group]],12,FALSE)</f>
        <v>Michael Wilson</v>
      </c>
      <c r="K67" s="4" t="str">
        <f>VLOOKUP(tblAppointments[[#This Row],[doctor_id]],tblDoctors[[doctor_id]:[Full_name]],9,FALSE)</f>
        <v>Sarah Smith</v>
      </c>
    </row>
    <row r="68" spans="1:11" x14ac:dyDescent="0.35">
      <c r="A68" t="s">
        <v>291</v>
      </c>
      <c r="B68" t="s">
        <v>159</v>
      </c>
      <c r="C68" t="s">
        <v>185</v>
      </c>
      <c r="D68" s="1">
        <v>45148</v>
      </c>
      <c r="E68" s="2">
        <v>0.45833333333333331</v>
      </c>
      <c r="F68" t="s">
        <v>232</v>
      </c>
      <c r="G68" t="s">
        <v>218</v>
      </c>
      <c r="H68" t="str">
        <f>TEXT(tblAppointments[[#This Row],[appointment_date]], "MMMM")</f>
        <v>August</v>
      </c>
      <c r="I68">
        <f>YEAR(tblAppointments[[#This Row],[appointment_date]])</f>
        <v>2023</v>
      </c>
      <c r="J68" s="4" t="str">
        <f>VLOOKUP(tblAppointments[[#This Row],[patient_id]],tblPatients[[patient_id]:[Age_Group]],12,FALSE)</f>
        <v>Linda Brown</v>
      </c>
      <c r="K68" s="4" t="str">
        <f>VLOOKUP(tblAppointments[[#This Row],[doctor_id]],tblDoctors[[doctor_id]:[Full_name]],9,FALSE)</f>
        <v>David Taylor</v>
      </c>
    </row>
    <row r="69" spans="1:11" x14ac:dyDescent="0.35">
      <c r="A69" t="s">
        <v>292</v>
      </c>
      <c r="B69" t="s">
        <v>143</v>
      </c>
      <c r="C69" t="s">
        <v>198</v>
      </c>
      <c r="D69" s="1">
        <v>44999</v>
      </c>
      <c r="E69" s="2">
        <v>0.625</v>
      </c>
      <c r="F69" t="s">
        <v>228</v>
      </c>
      <c r="G69" t="s">
        <v>218</v>
      </c>
      <c r="H69" t="str">
        <f>TEXT(tblAppointments[[#This Row],[appointment_date]], "MMMM")</f>
        <v>March</v>
      </c>
      <c r="I69">
        <f>YEAR(tblAppointments[[#This Row],[appointment_date]])</f>
        <v>2023</v>
      </c>
      <c r="J69" s="4" t="str">
        <f>VLOOKUP(tblAppointments[[#This Row],[patient_id]],tblPatients[[patient_id]:[Age_Group]],12,FALSE)</f>
        <v>Robert Williams</v>
      </c>
      <c r="K69" s="4" t="str">
        <f>VLOOKUP(tblAppointments[[#This Row],[doctor_id]],tblDoctors[[doctor_id]:[Full_name]],9,FALSE)</f>
        <v>Sarah Taylor</v>
      </c>
    </row>
    <row r="70" spans="1:11" x14ac:dyDescent="0.35">
      <c r="A70" t="s">
        <v>293</v>
      </c>
      <c r="B70" t="s">
        <v>67</v>
      </c>
      <c r="C70" t="s">
        <v>195</v>
      </c>
      <c r="D70" s="1">
        <v>45014</v>
      </c>
      <c r="E70" s="2">
        <v>0.64583333333333337</v>
      </c>
      <c r="F70" t="s">
        <v>217</v>
      </c>
      <c r="G70" t="s">
        <v>223</v>
      </c>
      <c r="H70" t="str">
        <f>TEXT(tblAppointments[[#This Row],[appointment_date]], "MMMM")</f>
        <v>March</v>
      </c>
      <c r="I70">
        <f>YEAR(tblAppointments[[#This Row],[appointment_date]])</f>
        <v>2023</v>
      </c>
      <c r="J70" s="4" t="str">
        <f>VLOOKUP(tblAppointments[[#This Row],[patient_id]],tblPatients[[patient_id]:[Age_Group]],12,FALSE)</f>
        <v>Laura Davis</v>
      </c>
      <c r="K70" s="4" t="str">
        <f>VLOOKUP(tblAppointments[[#This Row],[doctor_id]],tblDoctors[[doctor_id]:[Full_name]],9,FALSE)</f>
        <v>David Jones</v>
      </c>
    </row>
    <row r="71" spans="1:11" x14ac:dyDescent="0.35">
      <c r="A71" t="s">
        <v>294</v>
      </c>
      <c r="B71" t="s">
        <v>26</v>
      </c>
      <c r="C71" t="s">
        <v>193</v>
      </c>
      <c r="D71" s="1">
        <v>45164</v>
      </c>
      <c r="E71" s="2">
        <v>0.70833333333333337</v>
      </c>
      <c r="F71" t="s">
        <v>232</v>
      </c>
      <c r="G71" t="s">
        <v>218</v>
      </c>
      <c r="H71" t="str">
        <f>TEXT(tblAppointments[[#This Row],[appointment_date]], "MMMM")</f>
        <v>August</v>
      </c>
      <c r="I71">
        <f>YEAR(tblAppointments[[#This Row],[appointment_date]])</f>
        <v>2023</v>
      </c>
      <c r="J71" s="4" t="str">
        <f>VLOOKUP(tblAppointments[[#This Row],[patient_id]],tblPatients[[patient_id]:[Age_Group]],12,FALSE)</f>
        <v>Laura Jones</v>
      </c>
      <c r="K71" s="4" t="str">
        <f>VLOOKUP(tblAppointments[[#This Row],[doctor_id]],tblDoctors[[doctor_id]:[Full_name]],9,FALSE)</f>
        <v>Jane Smith</v>
      </c>
    </row>
    <row r="72" spans="1:11" x14ac:dyDescent="0.35">
      <c r="A72" t="s">
        <v>295</v>
      </c>
      <c r="B72" t="s">
        <v>11</v>
      </c>
      <c r="C72" t="s">
        <v>200</v>
      </c>
      <c r="D72" s="1">
        <v>44952</v>
      </c>
      <c r="E72" s="2">
        <v>0.70833333333333337</v>
      </c>
      <c r="F72" t="s">
        <v>232</v>
      </c>
      <c r="G72" t="s">
        <v>218</v>
      </c>
      <c r="H72" t="str">
        <f>TEXT(tblAppointments[[#This Row],[appointment_date]], "MMMM")</f>
        <v>January</v>
      </c>
      <c r="I72">
        <f>YEAR(tblAppointments[[#This Row],[appointment_date]])</f>
        <v>2023</v>
      </c>
      <c r="J72" s="4" t="str">
        <f>VLOOKUP(tblAppointments[[#This Row],[patient_id]],tblPatients[[patient_id]:[Age_Group]],12,FALSE)</f>
        <v>David Williams</v>
      </c>
      <c r="K72" s="4" t="str">
        <f>VLOOKUP(tblAppointments[[#This Row],[doctor_id]],tblDoctors[[doctor_id]:[Full_name]],9,FALSE)</f>
        <v>Alex Davis</v>
      </c>
    </row>
    <row r="73" spans="1:11" x14ac:dyDescent="0.35">
      <c r="A73" t="s">
        <v>296</v>
      </c>
      <c r="B73" t="s">
        <v>134</v>
      </c>
      <c r="C73" t="s">
        <v>189</v>
      </c>
      <c r="D73" s="1">
        <v>45089</v>
      </c>
      <c r="E73" s="2">
        <v>0.5625</v>
      </c>
      <c r="F73" t="s">
        <v>228</v>
      </c>
      <c r="G73" t="s">
        <v>218</v>
      </c>
      <c r="H73" t="str">
        <f>TEXT(tblAppointments[[#This Row],[appointment_date]], "MMMM")</f>
        <v>June</v>
      </c>
      <c r="I73">
        <f>YEAR(tblAppointments[[#This Row],[appointment_date]])</f>
        <v>2023</v>
      </c>
      <c r="J73" s="4" t="str">
        <f>VLOOKUP(tblAppointments[[#This Row],[patient_id]],tblPatients[[patient_id]:[Age_Group]],12,FALSE)</f>
        <v>Michael Wilson</v>
      </c>
      <c r="K73" s="4" t="str">
        <f>VLOOKUP(tblAppointments[[#This Row],[doctor_id]],tblDoctors[[doctor_id]:[Full_name]],9,FALSE)</f>
        <v>Jane Davis</v>
      </c>
    </row>
    <row r="74" spans="1:11" x14ac:dyDescent="0.35">
      <c r="A74" t="s">
        <v>297</v>
      </c>
      <c r="B74" t="s">
        <v>151</v>
      </c>
      <c r="C74" t="s">
        <v>193</v>
      </c>
      <c r="D74" s="1">
        <v>45284</v>
      </c>
      <c r="E74" s="2">
        <v>0.625</v>
      </c>
      <c r="F74" t="s">
        <v>232</v>
      </c>
      <c r="G74" t="s">
        <v>234</v>
      </c>
      <c r="H74" t="str">
        <f>TEXT(tblAppointments[[#This Row],[appointment_date]], "MMMM")</f>
        <v>December</v>
      </c>
      <c r="I74">
        <f>YEAR(tblAppointments[[#This Row],[appointment_date]])</f>
        <v>2023</v>
      </c>
      <c r="J74" s="4" t="str">
        <f>VLOOKUP(tblAppointments[[#This Row],[patient_id]],tblPatients[[patient_id]:[Age_Group]],12,FALSE)</f>
        <v>Emily Williams</v>
      </c>
      <c r="K74" s="4" t="str">
        <f>VLOOKUP(tblAppointments[[#This Row],[doctor_id]],tblDoctors[[doctor_id]:[Full_name]],9,FALSE)</f>
        <v>Jane Smith</v>
      </c>
    </row>
    <row r="75" spans="1:11" x14ac:dyDescent="0.35">
      <c r="A75" t="s">
        <v>298</v>
      </c>
      <c r="B75" t="s">
        <v>60</v>
      </c>
      <c r="C75" t="s">
        <v>198</v>
      </c>
      <c r="D75" s="1">
        <v>45130</v>
      </c>
      <c r="E75" s="2">
        <v>0.5625</v>
      </c>
      <c r="F75" t="s">
        <v>217</v>
      </c>
      <c r="G75" t="s">
        <v>220</v>
      </c>
      <c r="H75" t="str">
        <f>TEXT(tblAppointments[[#This Row],[appointment_date]], "MMMM")</f>
        <v>July</v>
      </c>
      <c r="I75">
        <f>YEAR(tblAppointments[[#This Row],[appointment_date]])</f>
        <v>2023</v>
      </c>
      <c r="J75" s="4" t="str">
        <f>VLOOKUP(tblAppointments[[#This Row],[patient_id]],tblPatients[[patient_id]:[Age_Group]],12,FALSE)</f>
        <v>Michael Taylor</v>
      </c>
      <c r="K75" s="4" t="str">
        <f>VLOOKUP(tblAppointments[[#This Row],[doctor_id]],tblDoctors[[doctor_id]:[Full_name]],9,FALSE)</f>
        <v>Sarah Taylor</v>
      </c>
    </row>
    <row r="76" spans="1:11" x14ac:dyDescent="0.35">
      <c r="A76" t="s">
        <v>299</v>
      </c>
      <c r="B76" t="s">
        <v>159</v>
      </c>
      <c r="C76" t="s">
        <v>207</v>
      </c>
      <c r="D76" s="1">
        <v>45054</v>
      </c>
      <c r="E76" s="2">
        <v>0.58333333333333337</v>
      </c>
      <c r="F76" t="s">
        <v>232</v>
      </c>
      <c r="G76" t="s">
        <v>223</v>
      </c>
      <c r="H76" t="str">
        <f>TEXT(tblAppointments[[#This Row],[appointment_date]], "MMMM")</f>
        <v>May</v>
      </c>
      <c r="I76">
        <f>YEAR(tblAppointments[[#This Row],[appointment_date]])</f>
        <v>2023</v>
      </c>
      <c r="J76" s="4" t="str">
        <f>VLOOKUP(tblAppointments[[#This Row],[patient_id]],tblPatients[[patient_id]:[Age_Group]],12,FALSE)</f>
        <v>Linda Brown</v>
      </c>
      <c r="K76" s="4" t="str">
        <f>VLOOKUP(tblAppointments[[#This Row],[doctor_id]],tblDoctors[[doctor_id]:[Full_name]],9,FALSE)</f>
        <v>Sarah Smith</v>
      </c>
    </row>
    <row r="77" spans="1:11" x14ac:dyDescent="0.35">
      <c r="A77" t="s">
        <v>300</v>
      </c>
      <c r="B77" t="s">
        <v>162</v>
      </c>
      <c r="C77" t="s">
        <v>189</v>
      </c>
      <c r="D77" s="1">
        <v>45257</v>
      </c>
      <c r="E77" s="2">
        <v>0.5</v>
      </c>
      <c r="F77" t="s">
        <v>217</v>
      </c>
      <c r="G77" t="s">
        <v>223</v>
      </c>
      <c r="H77" t="str">
        <f>TEXT(tblAppointments[[#This Row],[appointment_date]], "MMMM")</f>
        <v>November</v>
      </c>
      <c r="I77">
        <f>YEAR(tblAppointments[[#This Row],[appointment_date]])</f>
        <v>2023</v>
      </c>
      <c r="J77" s="4" t="str">
        <f>VLOOKUP(tblAppointments[[#This Row],[patient_id]],tblPatients[[patient_id]:[Age_Group]],12,FALSE)</f>
        <v>Robert Taylor</v>
      </c>
      <c r="K77" s="4" t="str">
        <f>VLOOKUP(tblAppointments[[#This Row],[doctor_id]],tblDoctors[[doctor_id]:[Full_name]],9,FALSE)</f>
        <v>Jane Davis</v>
      </c>
    </row>
    <row r="78" spans="1:11" x14ac:dyDescent="0.35">
      <c r="A78" t="s">
        <v>301</v>
      </c>
      <c r="B78" t="s">
        <v>123</v>
      </c>
      <c r="C78" t="s">
        <v>209</v>
      </c>
      <c r="D78" s="1">
        <v>45274</v>
      </c>
      <c r="E78" s="2">
        <v>0.71875</v>
      </c>
      <c r="F78" t="s">
        <v>228</v>
      </c>
      <c r="G78" t="s">
        <v>234</v>
      </c>
      <c r="H78" t="str">
        <f>TEXT(tblAppointments[[#This Row],[appointment_date]], "MMMM")</f>
        <v>December</v>
      </c>
      <c r="I78">
        <f>YEAR(tblAppointments[[#This Row],[appointment_date]])</f>
        <v>2023</v>
      </c>
      <c r="J78" s="4" t="str">
        <f>VLOOKUP(tblAppointments[[#This Row],[patient_id]],tblPatients[[patient_id]:[Age_Group]],12,FALSE)</f>
        <v>David Smith</v>
      </c>
      <c r="K78" s="4" t="str">
        <f>VLOOKUP(tblAppointments[[#This Row],[doctor_id]],tblDoctors[[doctor_id]:[Full_name]],9,FALSE)</f>
        <v>Linda Wilson</v>
      </c>
    </row>
    <row r="79" spans="1:11" x14ac:dyDescent="0.35">
      <c r="A79" t="s">
        <v>302</v>
      </c>
      <c r="B79" t="s">
        <v>69</v>
      </c>
      <c r="C79" t="s">
        <v>205</v>
      </c>
      <c r="D79" s="1">
        <v>45186</v>
      </c>
      <c r="E79" s="2">
        <v>0.46875</v>
      </c>
      <c r="F79" t="s">
        <v>222</v>
      </c>
      <c r="G79" t="s">
        <v>220</v>
      </c>
      <c r="H79" t="str">
        <f>TEXT(tblAppointments[[#This Row],[appointment_date]], "MMMM")</f>
        <v>September</v>
      </c>
      <c r="I79">
        <f>YEAR(tblAppointments[[#This Row],[appointment_date]])</f>
        <v>2023</v>
      </c>
      <c r="J79" s="4" t="str">
        <f>VLOOKUP(tblAppointments[[#This Row],[patient_id]],tblPatients[[patient_id]:[Age_Group]],12,FALSE)</f>
        <v>Laura Johnson</v>
      </c>
      <c r="K79" s="4" t="str">
        <f>VLOOKUP(tblAppointments[[#This Row],[doctor_id]],tblDoctors[[doctor_id]:[Full_name]],9,FALSE)</f>
        <v>Linda Brown</v>
      </c>
    </row>
    <row r="80" spans="1:11" x14ac:dyDescent="0.35">
      <c r="A80" t="s">
        <v>303</v>
      </c>
      <c r="B80" t="s">
        <v>67</v>
      </c>
      <c r="C80" t="s">
        <v>189</v>
      </c>
      <c r="D80" s="1">
        <v>45286</v>
      </c>
      <c r="E80" s="2">
        <v>0.58333333333333337</v>
      </c>
      <c r="F80" t="s">
        <v>232</v>
      </c>
      <c r="G80" t="s">
        <v>223</v>
      </c>
      <c r="H80" t="str">
        <f>TEXT(tblAppointments[[#This Row],[appointment_date]], "MMMM")</f>
        <v>December</v>
      </c>
      <c r="I80">
        <f>YEAR(tblAppointments[[#This Row],[appointment_date]])</f>
        <v>2023</v>
      </c>
      <c r="J80" s="4" t="str">
        <f>VLOOKUP(tblAppointments[[#This Row],[patient_id]],tblPatients[[patient_id]:[Age_Group]],12,FALSE)</f>
        <v>Laura Davis</v>
      </c>
      <c r="K80" s="4" t="str">
        <f>VLOOKUP(tblAppointments[[#This Row],[doctor_id]],tblDoctors[[doctor_id]:[Full_name]],9,FALSE)</f>
        <v>Jane Davis</v>
      </c>
    </row>
    <row r="81" spans="1:11" x14ac:dyDescent="0.35">
      <c r="A81" t="s">
        <v>304</v>
      </c>
      <c r="B81" t="s">
        <v>129</v>
      </c>
      <c r="C81" t="s">
        <v>198</v>
      </c>
      <c r="D81" s="1">
        <v>45103</v>
      </c>
      <c r="E81" s="2">
        <v>0.35416666666666669</v>
      </c>
      <c r="F81" t="s">
        <v>222</v>
      </c>
      <c r="G81" t="s">
        <v>218</v>
      </c>
      <c r="H81" t="str">
        <f>TEXT(tblAppointments[[#This Row],[appointment_date]], "MMMM")</f>
        <v>June</v>
      </c>
      <c r="I81">
        <f>YEAR(tblAppointments[[#This Row],[appointment_date]])</f>
        <v>2023</v>
      </c>
      <c r="J81" s="4" t="str">
        <f>VLOOKUP(tblAppointments[[#This Row],[patient_id]],tblPatients[[patient_id]:[Age_Group]],12,FALSE)</f>
        <v>Robert Miller</v>
      </c>
      <c r="K81" s="4" t="str">
        <f>VLOOKUP(tblAppointments[[#This Row],[doctor_id]],tblDoctors[[doctor_id]:[Full_name]],9,FALSE)</f>
        <v>Sarah Taylor</v>
      </c>
    </row>
    <row r="82" spans="1:11" x14ac:dyDescent="0.35">
      <c r="A82" t="s">
        <v>305</v>
      </c>
      <c r="B82" t="s">
        <v>168</v>
      </c>
      <c r="C82" t="s">
        <v>202</v>
      </c>
      <c r="D82" s="1">
        <v>44932</v>
      </c>
      <c r="E82" s="2">
        <v>0.5625</v>
      </c>
      <c r="F82" t="s">
        <v>217</v>
      </c>
      <c r="G82" t="s">
        <v>223</v>
      </c>
      <c r="H82" t="str">
        <f>TEXT(tblAppointments[[#This Row],[appointment_date]], "MMMM")</f>
        <v>January</v>
      </c>
      <c r="I82">
        <f>YEAR(tblAppointments[[#This Row],[appointment_date]])</f>
        <v>2023</v>
      </c>
      <c r="J82" s="4" t="str">
        <f>VLOOKUP(tblAppointments[[#This Row],[patient_id]],tblPatients[[patient_id]:[Age_Group]],12,FALSE)</f>
        <v>Michael Taylor</v>
      </c>
      <c r="K82" s="4" t="str">
        <f>VLOOKUP(tblAppointments[[#This Row],[doctor_id]],tblDoctors[[doctor_id]:[Full_name]],9,FALSE)</f>
        <v>Robert Davis</v>
      </c>
    </row>
    <row r="83" spans="1:11" x14ac:dyDescent="0.35">
      <c r="A83" t="s">
        <v>306</v>
      </c>
      <c r="B83" t="s">
        <v>19</v>
      </c>
      <c r="C83" t="s">
        <v>205</v>
      </c>
      <c r="D83" s="1">
        <v>44946</v>
      </c>
      <c r="E83" s="2">
        <v>0.44791666666666669</v>
      </c>
      <c r="F83" t="s">
        <v>232</v>
      </c>
      <c r="G83" t="s">
        <v>218</v>
      </c>
      <c r="H83" t="str">
        <f>TEXT(tblAppointments[[#This Row],[appointment_date]], "MMMM")</f>
        <v>January</v>
      </c>
      <c r="I83">
        <f>YEAR(tblAppointments[[#This Row],[appointment_date]])</f>
        <v>2023</v>
      </c>
      <c r="J83" s="4" t="str">
        <f>VLOOKUP(tblAppointments[[#This Row],[patient_id]],tblPatients[[patient_id]:[Age_Group]],12,FALSE)</f>
        <v>Emily Smith</v>
      </c>
      <c r="K83" s="4" t="str">
        <f>VLOOKUP(tblAppointments[[#This Row],[doctor_id]],tblDoctors[[doctor_id]:[Full_name]],9,FALSE)</f>
        <v>Linda Brown</v>
      </c>
    </row>
    <row r="84" spans="1:11" x14ac:dyDescent="0.35">
      <c r="A84" t="s">
        <v>307</v>
      </c>
      <c r="B84" t="s">
        <v>178</v>
      </c>
      <c r="C84" t="s">
        <v>185</v>
      </c>
      <c r="D84" s="1">
        <v>45237</v>
      </c>
      <c r="E84" s="2">
        <v>0.52083333333333337</v>
      </c>
      <c r="F84" t="s">
        <v>226</v>
      </c>
      <c r="G84" t="s">
        <v>234</v>
      </c>
      <c r="H84" t="str">
        <f>TEXT(tblAppointments[[#This Row],[appointment_date]], "MMMM")</f>
        <v>November</v>
      </c>
      <c r="I84">
        <f>YEAR(tblAppointments[[#This Row],[appointment_date]])</f>
        <v>2023</v>
      </c>
      <c r="J84" s="4" t="str">
        <f>VLOOKUP(tblAppointments[[#This Row],[patient_id]],tblPatients[[patient_id]:[Age_Group]],12,FALSE)</f>
        <v>Laura Wilson</v>
      </c>
      <c r="K84" s="4" t="str">
        <f>VLOOKUP(tblAppointments[[#This Row],[doctor_id]],tblDoctors[[doctor_id]:[Full_name]],9,FALSE)</f>
        <v>David Taylor</v>
      </c>
    </row>
    <row r="85" spans="1:11" x14ac:dyDescent="0.35">
      <c r="A85" t="s">
        <v>308</v>
      </c>
      <c r="B85" t="s">
        <v>139</v>
      </c>
      <c r="C85" t="s">
        <v>200</v>
      </c>
      <c r="D85" s="1">
        <v>45077</v>
      </c>
      <c r="E85" s="2">
        <v>0.66666666666666663</v>
      </c>
      <c r="F85" t="s">
        <v>222</v>
      </c>
      <c r="G85" t="s">
        <v>218</v>
      </c>
      <c r="H85" t="str">
        <f>TEXT(tblAppointments[[#This Row],[appointment_date]], "MMMM")</f>
        <v>May</v>
      </c>
      <c r="I85">
        <f>YEAR(tblAppointments[[#This Row],[appointment_date]])</f>
        <v>2023</v>
      </c>
      <c r="J85" s="4" t="str">
        <f>VLOOKUP(tblAppointments[[#This Row],[patient_id]],tblPatients[[patient_id]:[Age_Group]],12,FALSE)</f>
        <v>David Wilson</v>
      </c>
      <c r="K85" s="4" t="str">
        <f>VLOOKUP(tblAppointments[[#This Row],[doctor_id]],tblDoctors[[doctor_id]:[Full_name]],9,FALSE)</f>
        <v>Alex Davis</v>
      </c>
    </row>
    <row r="86" spans="1:11" x14ac:dyDescent="0.35">
      <c r="A86" t="s">
        <v>309</v>
      </c>
      <c r="B86" t="s">
        <v>104</v>
      </c>
      <c r="C86" t="s">
        <v>185</v>
      </c>
      <c r="D86" s="1">
        <v>44975</v>
      </c>
      <c r="E86" s="2">
        <v>0.67708333333333337</v>
      </c>
      <c r="F86" t="s">
        <v>232</v>
      </c>
      <c r="G86" t="s">
        <v>223</v>
      </c>
      <c r="H86" t="str">
        <f>TEXT(tblAppointments[[#This Row],[appointment_date]], "MMMM")</f>
        <v>February</v>
      </c>
      <c r="I86">
        <f>YEAR(tblAppointments[[#This Row],[appointment_date]])</f>
        <v>2023</v>
      </c>
      <c r="J86" s="4" t="str">
        <f>VLOOKUP(tblAppointments[[#This Row],[patient_id]],tblPatients[[patient_id]:[Age_Group]],12,FALSE)</f>
        <v>Linda Johnson</v>
      </c>
      <c r="K86" s="4" t="str">
        <f>VLOOKUP(tblAppointments[[#This Row],[doctor_id]],tblDoctors[[doctor_id]:[Full_name]],9,FALSE)</f>
        <v>David Taylor</v>
      </c>
    </row>
    <row r="87" spans="1:11" x14ac:dyDescent="0.35">
      <c r="A87" t="s">
        <v>310</v>
      </c>
      <c r="B87" t="s">
        <v>81</v>
      </c>
      <c r="C87" t="s">
        <v>189</v>
      </c>
      <c r="D87" s="1">
        <v>45228</v>
      </c>
      <c r="E87" s="2">
        <v>0.45833333333333331</v>
      </c>
      <c r="F87" t="s">
        <v>222</v>
      </c>
      <c r="G87" t="s">
        <v>223</v>
      </c>
      <c r="H87" t="str">
        <f>TEXT(tblAppointments[[#This Row],[appointment_date]], "MMMM")</f>
        <v>October</v>
      </c>
      <c r="I87">
        <f>YEAR(tblAppointments[[#This Row],[appointment_date]])</f>
        <v>2023</v>
      </c>
      <c r="J87" s="4" t="str">
        <f>VLOOKUP(tblAppointments[[#This Row],[patient_id]],tblPatients[[patient_id]:[Age_Group]],12,FALSE)</f>
        <v>Jane Jones</v>
      </c>
      <c r="K87" s="4" t="str">
        <f>VLOOKUP(tblAppointments[[#This Row],[doctor_id]],tblDoctors[[doctor_id]:[Full_name]],9,FALSE)</f>
        <v>Jane Davis</v>
      </c>
    </row>
    <row r="88" spans="1:11" x14ac:dyDescent="0.35">
      <c r="A88" t="s">
        <v>311</v>
      </c>
      <c r="B88" t="s">
        <v>114</v>
      </c>
      <c r="C88" t="s">
        <v>185</v>
      </c>
      <c r="D88" s="1">
        <v>45218</v>
      </c>
      <c r="E88" s="2">
        <v>0.51041666666666663</v>
      </c>
      <c r="F88" t="s">
        <v>232</v>
      </c>
      <c r="G88" t="s">
        <v>223</v>
      </c>
      <c r="H88" t="str">
        <f>TEXT(tblAppointments[[#This Row],[appointment_date]], "MMMM")</f>
        <v>October</v>
      </c>
      <c r="I88">
        <f>YEAR(tblAppointments[[#This Row],[appointment_date]])</f>
        <v>2023</v>
      </c>
      <c r="J88" s="4" t="str">
        <f>VLOOKUP(tblAppointments[[#This Row],[patient_id]],tblPatients[[patient_id]:[Age_Group]],12,FALSE)</f>
        <v>John Taylor</v>
      </c>
      <c r="K88" s="4" t="str">
        <f>VLOOKUP(tblAppointments[[#This Row],[doctor_id]],tblDoctors[[doctor_id]:[Full_name]],9,FALSE)</f>
        <v>David Taylor</v>
      </c>
    </row>
    <row r="89" spans="1:11" x14ac:dyDescent="0.35">
      <c r="A89" t="s">
        <v>312</v>
      </c>
      <c r="B89" t="s">
        <v>52</v>
      </c>
      <c r="C89" t="s">
        <v>198</v>
      </c>
      <c r="D89" s="1">
        <v>45048</v>
      </c>
      <c r="E89" s="2">
        <v>0.6875</v>
      </c>
      <c r="F89" t="s">
        <v>228</v>
      </c>
      <c r="G89" t="s">
        <v>234</v>
      </c>
      <c r="H89" t="str">
        <f>TEXT(tblAppointments[[#This Row],[appointment_date]], "MMMM")</f>
        <v>May</v>
      </c>
      <c r="I89">
        <f>YEAR(tblAppointments[[#This Row],[appointment_date]])</f>
        <v>2023</v>
      </c>
      <c r="J89" s="4" t="str">
        <f>VLOOKUP(tblAppointments[[#This Row],[patient_id]],tblPatients[[patient_id]:[Age_Group]],12,FALSE)</f>
        <v>David Davis</v>
      </c>
      <c r="K89" s="4" t="str">
        <f>VLOOKUP(tblAppointments[[#This Row],[doctor_id]],tblDoctors[[doctor_id]:[Full_name]],9,FALSE)</f>
        <v>Sarah Taylor</v>
      </c>
    </row>
    <row r="90" spans="1:11" x14ac:dyDescent="0.35">
      <c r="A90" t="s">
        <v>313</v>
      </c>
      <c r="B90" t="s">
        <v>123</v>
      </c>
      <c r="C90" t="s">
        <v>209</v>
      </c>
      <c r="D90" s="1">
        <v>44971</v>
      </c>
      <c r="E90" s="2">
        <v>0.45833333333333331</v>
      </c>
      <c r="F90" t="s">
        <v>222</v>
      </c>
      <c r="G90" t="s">
        <v>234</v>
      </c>
      <c r="H90" t="str">
        <f>TEXT(tblAppointments[[#This Row],[appointment_date]], "MMMM")</f>
        <v>February</v>
      </c>
      <c r="I90">
        <f>YEAR(tblAppointments[[#This Row],[appointment_date]])</f>
        <v>2023</v>
      </c>
      <c r="J90" s="4" t="str">
        <f>VLOOKUP(tblAppointments[[#This Row],[patient_id]],tblPatients[[patient_id]:[Age_Group]],12,FALSE)</f>
        <v>David Smith</v>
      </c>
      <c r="K90" s="4" t="str">
        <f>VLOOKUP(tblAppointments[[#This Row],[doctor_id]],tblDoctors[[doctor_id]:[Full_name]],9,FALSE)</f>
        <v>Linda Wilson</v>
      </c>
    </row>
    <row r="91" spans="1:11" x14ac:dyDescent="0.35">
      <c r="A91" t="s">
        <v>314</v>
      </c>
      <c r="B91" t="s">
        <v>114</v>
      </c>
      <c r="C91" t="s">
        <v>207</v>
      </c>
      <c r="D91" s="1">
        <v>45078</v>
      </c>
      <c r="E91" s="2">
        <v>0.72916666666666663</v>
      </c>
      <c r="F91" t="s">
        <v>226</v>
      </c>
      <c r="G91" t="s">
        <v>220</v>
      </c>
      <c r="H91" t="str">
        <f>TEXT(tblAppointments[[#This Row],[appointment_date]], "MMMM")</f>
        <v>June</v>
      </c>
      <c r="I91">
        <f>YEAR(tblAppointments[[#This Row],[appointment_date]])</f>
        <v>2023</v>
      </c>
      <c r="J91" s="4" t="str">
        <f>VLOOKUP(tblAppointments[[#This Row],[patient_id]],tblPatients[[patient_id]:[Age_Group]],12,FALSE)</f>
        <v>John Taylor</v>
      </c>
      <c r="K91" s="4" t="str">
        <f>VLOOKUP(tblAppointments[[#This Row],[doctor_id]],tblDoctors[[doctor_id]:[Full_name]],9,FALSE)</f>
        <v>Sarah Smith</v>
      </c>
    </row>
    <row r="92" spans="1:11" x14ac:dyDescent="0.35">
      <c r="A92" t="s">
        <v>315</v>
      </c>
      <c r="B92" t="s">
        <v>60</v>
      </c>
      <c r="C92" t="s">
        <v>200</v>
      </c>
      <c r="D92" s="1">
        <v>45088</v>
      </c>
      <c r="E92" s="2">
        <v>0.55208333333333337</v>
      </c>
      <c r="F92" t="s">
        <v>226</v>
      </c>
      <c r="G92" t="s">
        <v>223</v>
      </c>
      <c r="H92" t="str">
        <f>TEXT(tblAppointments[[#This Row],[appointment_date]], "MMMM")</f>
        <v>June</v>
      </c>
      <c r="I92">
        <f>YEAR(tblAppointments[[#This Row],[appointment_date]])</f>
        <v>2023</v>
      </c>
      <c r="J92" s="4" t="str">
        <f>VLOOKUP(tblAppointments[[#This Row],[patient_id]],tblPatients[[patient_id]:[Age_Group]],12,FALSE)</f>
        <v>Michael Taylor</v>
      </c>
      <c r="K92" s="4" t="str">
        <f>VLOOKUP(tblAppointments[[#This Row],[doctor_id]],tblDoctors[[doctor_id]:[Full_name]],9,FALSE)</f>
        <v>Alex Davis</v>
      </c>
    </row>
    <row r="93" spans="1:11" x14ac:dyDescent="0.35">
      <c r="A93" t="s">
        <v>316</v>
      </c>
      <c r="B93" t="s">
        <v>114</v>
      </c>
      <c r="C93" t="s">
        <v>185</v>
      </c>
      <c r="D93" s="1">
        <v>44956</v>
      </c>
      <c r="E93" s="2">
        <v>0.59375</v>
      </c>
      <c r="F93" t="s">
        <v>217</v>
      </c>
      <c r="G93" t="s">
        <v>218</v>
      </c>
      <c r="H93" t="str">
        <f>TEXT(tblAppointments[[#This Row],[appointment_date]], "MMMM")</f>
        <v>January</v>
      </c>
      <c r="I93">
        <f>YEAR(tblAppointments[[#This Row],[appointment_date]])</f>
        <v>2023</v>
      </c>
      <c r="J93" s="4" t="str">
        <f>VLOOKUP(tblAppointments[[#This Row],[patient_id]],tblPatients[[patient_id]:[Age_Group]],12,FALSE)</f>
        <v>John Taylor</v>
      </c>
      <c r="K93" s="4" t="str">
        <f>VLOOKUP(tblAppointments[[#This Row],[doctor_id]],tblDoctors[[doctor_id]:[Full_name]],9,FALSE)</f>
        <v>David Taylor</v>
      </c>
    </row>
    <row r="94" spans="1:11" x14ac:dyDescent="0.35">
      <c r="A94" t="s">
        <v>317</v>
      </c>
      <c r="B94" t="s">
        <v>136</v>
      </c>
      <c r="C94" t="s">
        <v>185</v>
      </c>
      <c r="D94" s="1">
        <v>45025</v>
      </c>
      <c r="E94" s="2">
        <v>0.39583333333333331</v>
      </c>
      <c r="F94" t="s">
        <v>232</v>
      </c>
      <c r="G94" t="s">
        <v>234</v>
      </c>
      <c r="H94" t="str">
        <f>TEXT(tblAppointments[[#This Row],[appointment_date]], "MMMM")</f>
        <v>April</v>
      </c>
      <c r="I94">
        <f>YEAR(tblAppointments[[#This Row],[appointment_date]])</f>
        <v>2023</v>
      </c>
      <c r="J94" s="4" t="str">
        <f>VLOOKUP(tblAppointments[[#This Row],[patient_id]],tblPatients[[patient_id]:[Age_Group]],12,FALSE)</f>
        <v>Alex Smith</v>
      </c>
      <c r="K94" s="4" t="str">
        <f>VLOOKUP(tblAppointments[[#This Row],[doctor_id]],tblDoctors[[doctor_id]:[Full_name]],9,FALSE)</f>
        <v>David Taylor</v>
      </c>
    </row>
    <row r="95" spans="1:11" x14ac:dyDescent="0.35">
      <c r="A95" t="s">
        <v>318</v>
      </c>
      <c r="B95" t="s">
        <v>154</v>
      </c>
      <c r="C95" t="s">
        <v>189</v>
      </c>
      <c r="D95" s="1">
        <v>45024</v>
      </c>
      <c r="E95" s="2">
        <v>0.36458333333333331</v>
      </c>
      <c r="F95" t="s">
        <v>222</v>
      </c>
      <c r="G95" t="s">
        <v>223</v>
      </c>
      <c r="H95" t="str">
        <f>TEXT(tblAppointments[[#This Row],[appointment_date]], "MMMM")</f>
        <v>April</v>
      </c>
      <c r="I95">
        <f>YEAR(tblAppointments[[#This Row],[appointment_date]])</f>
        <v>2023</v>
      </c>
      <c r="J95" s="4" t="str">
        <f>VLOOKUP(tblAppointments[[#This Row],[patient_id]],tblPatients[[patient_id]:[Age_Group]],12,FALSE)</f>
        <v>Robert Williams</v>
      </c>
      <c r="K95" s="4" t="str">
        <f>VLOOKUP(tblAppointments[[#This Row],[doctor_id]],tblDoctors[[doctor_id]:[Full_name]],9,FALSE)</f>
        <v>Jane Davis</v>
      </c>
    </row>
    <row r="96" spans="1:11" x14ac:dyDescent="0.35">
      <c r="A96" t="s">
        <v>319</v>
      </c>
      <c r="B96" t="s">
        <v>48</v>
      </c>
      <c r="C96" t="s">
        <v>207</v>
      </c>
      <c r="D96" s="1">
        <v>45055</v>
      </c>
      <c r="E96" s="2">
        <v>0.42708333333333331</v>
      </c>
      <c r="F96" t="s">
        <v>217</v>
      </c>
      <c r="G96" t="s">
        <v>223</v>
      </c>
      <c r="H96" t="str">
        <f>TEXT(tblAppointments[[#This Row],[appointment_date]], "MMMM")</f>
        <v>May</v>
      </c>
      <c r="I96">
        <f>YEAR(tblAppointments[[#This Row],[appointment_date]])</f>
        <v>2023</v>
      </c>
      <c r="J96" s="4" t="str">
        <f>VLOOKUP(tblAppointments[[#This Row],[patient_id]],tblPatients[[patient_id]:[Age_Group]],12,FALSE)</f>
        <v>Alex Johnson</v>
      </c>
      <c r="K96" s="4" t="str">
        <f>VLOOKUP(tblAppointments[[#This Row],[doctor_id]],tblDoctors[[doctor_id]:[Full_name]],9,FALSE)</f>
        <v>Sarah Smith</v>
      </c>
    </row>
    <row r="97" spans="1:11" x14ac:dyDescent="0.35">
      <c r="A97" t="s">
        <v>320</v>
      </c>
      <c r="B97" t="s">
        <v>32</v>
      </c>
      <c r="C97" t="s">
        <v>193</v>
      </c>
      <c r="D97" s="1">
        <v>45114</v>
      </c>
      <c r="E97" s="2">
        <v>0.625</v>
      </c>
      <c r="F97" t="s">
        <v>222</v>
      </c>
      <c r="G97" t="s">
        <v>234</v>
      </c>
      <c r="H97" t="str">
        <f>TEXT(tblAppointments[[#This Row],[appointment_date]], "MMMM")</f>
        <v>July</v>
      </c>
      <c r="I97">
        <f>YEAR(tblAppointments[[#This Row],[appointment_date]])</f>
        <v>2023</v>
      </c>
      <c r="J97" s="4" t="str">
        <f>VLOOKUP(tblAppointments[[#This Row],[patient_id]],tblPatients[[patient_id]:[Age_Group]],12,FALSE)</f>
        <v>Michael Johnson</v>
      </c>
      <c r="K97" s="4" t="str">
        <f>VLOOKUP(tblAppointments[[#This Row],[doctor_id]],tblDoctors[[doctor_id]:[Full_name]],9,FALSE)</f>
        <v>Jane Smith</v>
      </c>
    </row>
    <row r="98" spans="1:11" x14ac:dyDescent="0.35">
      <c r="A98" t="s">
        <v>321</v>
      </c>
      <c r="B98" t="s">
        <v>178</v>
      </c>
      <c r="C98" t="s">
        <v>185</v>
      </c>
      <c r="D98" s="1">
        <v>45052</v>
      </c>
      <c r="E98" s="2">
        <v>0.61458333333333337</v>
      </c>
      <c r="F98" t="s">
        <v>232</v>
      </c>
      <c r="G98" t="s">
        <v>220</v>
      </c>
      <c r="H98" t="str">
        <f>TEXT(tblAppointments[[#This Row],[appointment_date]], "MMMM")</f>
        <v>May</v>
      </c>
      <c r="I98">
        <f>YEAR(tblAppointments[[#This Row],[appointment_date]])</f>
        <v>2023</v>
      </c>
      <c r="J98" s="4" t="str">
        <f>VLOOKUP(tblAppointments[[#This Row],[patient_id]],tblPatients[[patient_id]:[Age_Group]],12,FALSE)</f>
        <v>Laura Wilson</v>
      </c>
      <c r="K98" s="4" t="str">
        <f>VLOOKUP(tblAppointments[[#This Row],[doctor_id]],tblDoctors[[doctor_id]:[Full_name]],9,FALSE)</f>
        <v>David Taylor</v>
      </c>
    </row>
    <row r="99" spans="1:11" x14ac:dyDescent="0.35">
      <c r="A99" t="s">
        <v>322</v>
      </c>
      <c r="B99" t="s">
        <v>165</v>
      </c>
      <c r="C99" t="s">
        <v>198</v>
      </c>
      <c r="D99" s="1">
        <v>45002</v>
      </c>
      <c r="E99" s="2">
        <v>0.54166666666666663</v>
      </c>
      <c r="F99" t="s">
        <v>226</v>
      </c>
      <c r="G99" t="s">
        <v>234</v>
      </c>
      <c r="H99" t="str">
        <f>TEXT(tblAppointments[[#This Row],[appointment_date]], "MMMM")</f>
        <v>March</v>
      </c>
      <c r="I99">
        <f>YEAR(tblAppointments[[#This Row],[appointment_date]])</f>
        <v>2023</v>
      </c>
      <c r="J99" s="4" t="str">
        <f>VLOOKUP(tblAppointments[[#This Row],[patient_id]],tblPatients[[patient_id]:[Age_Group]],12,FALSE)</f>
        <v>Linda Miller</v>
      </c>
      <c r="K99" s="4" t="str">
        <f>VLOOKUP(tblAppointments[[#This Row],[doctor_id]],tblDoctors[[doctor_id]:[Full_name]],9,FALSE)</f>
        <v>Sarah Taylor</v>
      </c>
    </row>
    <row r="100" spans="1:11" x14ac:dyDescent="0.35">
      <c r="A100" t="s">
        <v>323</v>
      </c>
      <c r="B100" t="s">
        <v>64</v>
      </c>
      <c r="C100" t="s">
        <v>202</v>
      </c>
      <c r="D100" s="1">
        <v>45111</v>
      </c>
      <c r="E100" s="2">
        <v>0.625</v>
      </c>
      <c r="F100" t="s">
        <v>228</v>
      </c>
      <c r="G100" t="s">
        <v>234</v>
      </c>
      <c r="H100" t="str">
        <f>TEXT(tblAppointments[[#This Row],[appointment_date]], "MMMM")</f>
        <v>July</v>
      </c>
      <c r="I100">
        <f>YEAR(tblAppointments[[#This Row],[appointment_date]])</f>
        <v>2023</v>
      </c>
      <c r="J100" s="4" t="str">
        <f>VLOOKUP(tblAppointments[[#This Row],[patient_id]],tblPatients[[patient_id]:[Age_Group]],12,FALSE)</f>
        <v>Emily Jones</v>
      </c>
      <c r="K100" s="4" t="str">
        <f>VLOOKUP(tblAppointments[[#This Row],[doctor_id]],tblDoctors[[doctor_id]:[Full_name]],9,FALSE)</f>
        <v>Robert Davis</v>
      </c>
    </row>
    <row r="101" spans="1:11" x14ac:dyDescent="0.35">
      <c r="A101" t="s">
        <v>324</v>
      </c>
      <c r="B101" t="s">
        <v>123</v>
      </c>
      <c r="C101" t="s">
        <v>200</v>
      </c>
      <c r="D101" s="1">
        <v>44987</v>
      </c>
      <c r="E101" s="2">
        <v>0.33333333333333331</v>
      </c>
      <c r="F101" t="s">
        <v>226</v>
      </c>
      <c r="G101" t="s">
        <v>218</v>
      </c>
      <c r="H101" t="str">
        <f>TEXT(tblAppointments[[#This Row],[appointment_date]], "MMMM")</f>
        <v>March</v>
      </c>
      <c r="I101">
        <f>YEAR(tblAppointments[[#This Row],[appointment_date]])</f>
        <v>2023</v>
      </c>
      <c r="J101" s="4" t="str">
        <f>VLOOKUP(tblAppointments[[#This Row],[patient_id]],tblPatients[[patient_id]:[Age_Group]],12,FALSE)</f>
        <v>David Smith</v>
      </c>
      <c r="K101" s="4" t="str">
        <f>VLOOKUP(tblAppointments[[#This Row],[doctor_id]],tblDoctors[[doctor_id]:[Full_name]],9,FALSE)</f>
        <v>Alex Davis</v>
      </c>
    </row>
    <row r="102" spans="1:11" x14ac:dyDescent="0.35">
      <c r="A102" t="s">
        <v>325</v>
      </c>
      <c r="B102" t="s">
        <v>141</v>
      </c>
      <c r="C102" t="s">
        <v>185</v>
      </c>
      <c r="D102" s="1">
        <v>45190</v>
      </c>
      <c r="E102" s="2">
        <v>0.55208333333333337</v>
      </c>
      <c r="F102" t="s">
        <v>217</v>
      </c>
      <c r="G102" t="s">
        <v>218</v>
      </c>
      <c r="H102" t="str">
        <f>TEXT(tblAppointments[[#This Row],[appointment_date]], "MMMM")</f>
        <v>September</v>
      </c>
      <c r="I102">
        <f>YEAR(tblAppointments[[#This Row],[appointment_date]])</f>
        <v>2023</v>
      </c>
      <c r="J102" s="4" t="str">
        <f>VLOOKUP(tblAppointments[[#This Row],[patient_id]],tblPatients[[patient_id]:[Age_Group]],12,FALSE)</f>
        <v>Michael Wilson</v>
      </c>
      <c r="K102" s="4" t="str">
        <f>VLOOKUP(tblAppointments[[#This Row],[doctor_id]],tblDoctors[[doctor_id]:[Full_name]],9,FALSE)</f>
        <v>David Taylor</v>
      </c>
    </row>
    <row r="103" spans="1:11" x14ac:dyDescent="0.35">
      <c r="A103" t="s">
        <v>326</v>
      </c>
      <c r="B103" t="s">
        <v>110</v>
      </c>
      <c r="C103" t="s">
        <v>198</v>
      </c>
      <c r="D103" s="1">
        <v>45224</v>
      </c>
      <c r="E103" s="2">
        <v>0.375</v>
      </c>
      <c r="F103" t="s">
        <v>228</v>
      </c>
      <c r="G103" t="s">
        <v>220</v>
      </c>
      <c r="H103" t="str">
        <f>TEXT(tblAppointments[[#This Row],[appointment_date]], "MMMM")</f>
        <v>October</v>
      </c>
      <c r="I103">
        <f>YEAR(tblAppointments[[#This Row],[appointment_date]])</f>
        <v>2023</v>
      </c>
      <c r="J103" s="4" t="str">
        <f>VLOOKUP(tblAppointments[[#This Row],[patient_id]],tblPatients[[patient_id]:[Age_Group]],12,FALSE)</f>
        <v>Robert Wilson</v>
      </c>
      <c r="K103" s="4" t="str">
        <f>VLOOKUP(tblAppointments[[#This Row],[doctor_id]],tblDoctors[[doctor_id]:[Full_name]],9,FALSE)</f>
        <v>Sarah Taylor</v>
      </c>
    </row>
    <row r="104" spans="1:11" x14ac:dyDescent="0.35">
      <c r="A104" t="s">
        <v>327</v>
      </c>
      <c r="B104" t="s">
        <v>96</v>
      </c>
      <c r="C104" t="s">
        <v>198</v>
      </c>
      <c r="D104" s="1">
        <v>44950</v>
      </c>
      <c r="E104" s="2">
        <v>0.35416666666666669</v>
      </c>
      <c r="F104" t="s">
        <v>217</v>
      </c>
      <c r="G104" t="s">
        <v>223</v>
      </c>
      <c r="H104" t="str">
        <f>TEXT(tblAppointments[[#This Row],[appointment_date]], "MMMM")</f>
        <v>January</v>
      </c>
      <c r="I104">
        <f>YEAR(tblAppointments[[#This Row],[appointment_date]])</f>
        <v>2023</v>
      </c>
      <c r="J104" s="4" t="str">
        <f>VLOOKUP(tblAppointments[[#This Row],[patient_id]],tblPatients[[patient_id]:[Age_Group]],12,FALSE)</f>
        <v>Michael Wilson</v>
      </c>
      <c r="K104" s="4" t="str">
        <f>VLOOKUP(tblAppointments[[#This Row],[doctor_id]],tblDoctors[[doctor_id]:[Full_name]],9,FALSE)</f>
        <v>Sarah Taylor</v>
      </c>
    </row>
    <row r="105" spans="1:11" x14ac:dyDescent="0.35">
      <c r="A105" t="s">
        <v>328</v>
      </c>
      <c r="B105" t="s">
        <v>141</v>
      </c>
      <c r="C105" t="s">
        <v>200</v>
      </c>
      <c r="D105" s="1">
        <v>45034</v>
      </c>
      <c r="E105" s="2">
        <v>0.36458333333333331</v>
      </c>
      <c r="F105" t="s">
        <v>232</v>
      </c>
      <c r="G105" t="s">
        <v>234</v>
      </c>
      <c r="H105" t="str">
        <f>TEXT(tblAppointments[[#This Row],[appointment_date]], "MMMM")</f>
        <v>April</v>
      </c>
      <c r="I105">
        <f>YEAR(tblAppointments[[#This Row],[appointment_date]])</f>
        <v>2023</v>
      </c>
      <c r="J105" s="4" t="str">
        <f>VLOOKUP(tblAppointments[[#This Row],[patient_id]],tblPatients[[patient_id]:[Age_Group]],12,FALSE)</f>
        <v>Michael Wilson</v>
      </c>
      <c r="K105" s="4" t="str">
        <f>VLOOKUP(tblAppointments[[#This Row],[doctor_id]],tblDoctors[[doctor_id]:[Full_name]],9,FALSE)</f>
        <v>Alex Davis</v>
      </c>
    </row>
    <row r="106" spans="1:11" x14ac:dyDescent="0.35">
      <c r="A106" t="s">
        <v>329</v>
      </c>
      <c r="B106" t="s">
        <v>60</v>
      </c>
      <c r="C106" t="s">
        <v>193</v>
      </c>
      <c r="D106" s="1">
        <v>45152</v>
      </c>
      <c r="E106" s="2">
        <v>0.66666666666666663</v>
      </c>
      <c r="F106" t="s">
        <v>228</v>
      </c>
      <c r="G106" t="s">
        <v>220</v>
      </c>
      <c r="H106" t="str">
        <f>TEXT(tblAppointments[[#This Row],[appointment_date]], "MMMM")</f>
        <v>August</v>
      </c>
      <c r="I106">
        <f>YEAR(tblAppointments[[#This Row],[appointment_date]])</f>
        <v>2023</v>
      </c>
      <c r="J106" s="4" t="str">
        <f>VLOOKUP(tblAppointments[[#This Row],[patient_id]],tblPatients[[patient_id]:[Age_Group]],12,FALSE)</f>
        <v>Michael Taylor</v>
      </c>
      <c r="K106" s="4" t="str">
        <f>VLOOKUP(tblAppointments[[#This Row],[doctor_id]],tblDoctors[[doctor_id]:[Full_name]],9,FALSE)</f>
        <v>Jane Smith</v>
      </c>
    </row>
    <row r="107" spans="1:11" x14ac:dyDescent="0.35">
      <c r="A107" t="s">
        <v>330</v>
      </c>
      <c r="B107" t="s">
        <v>143</v>
      </c>
      <c r="C107" t="s">
        <v>198</v>
      </c>
      <c r="D107" s="1">
        <v>45228</v>
      </c>
      <c r="E107" s="2">
        <v>0.46875</v>
      </c>
      <c r="F107" t="s">
        <v>217</v>
      </c>
      <c r="G107" t="s">
        <v>218</v>
      </c>
      <c r="H107" t="str">
        <f>TEXT(tblAppointments[[#This Row],[appointment_date]], "MMMM")</f>
        <v>October</v>
      </c>
      <c r="I107">
        <f>YEAR(tblAppointments[[#This Row],[appointment_date]])</f>
        <v>2023</v>
      </c>
      <c r="J107" s="4" t="str">
        <f>VLOOKUP(tblAppointments[[#This Row],[patient_id]],tblPatients[[patient_id]:[Age_Group]],12,FALSE)</f>
        <v>Robert Williams</v>
      </c>
      <c r="K107" s="4" t="str">
        <f>VLOOKUP(tblAppointments[[#This Row],[doctor_id]],tblDoctors[[doctor_id]:[Full_name]],9,FALSE)</f>
        <v>Sarah Taylor</v>
      </c>
    </row>
    <row r="108" spans="1:11" x14ac:dyDescent="0.35">
      <c r="A108" t="s">
        <v>331</v>
      </c>
      <c r="B108" t="s">
        <v>57</v>
      </c>
      <c r="C108" t="s">
        <v>202</v>
      </c>
      <c r="D108" s="1">
        <v>45033</v>
      </c>
      <c r="E108" s="2">
        <v>0.57291666666666663</v>
      </c>
      <c r="F108" t="s">
        <v>232</v>
      </c>
      <c r="G108" t="s">
        <v>234</v>
      </c>
      <c r="H108" t="str">
        <f>TEXT(tblAppointments[[#This Row],[appointment_date]], "MMMM")</f>
        <v>April</v>
      </c>
      <c r="I108">
        <f>YEAR(tblAppointments[[#This Row],[appointment_date]])</f>
        <v>2023</v>
      </c>
      <c r="J108" s="4" t="str">
        <f>VLOOKUP(tblAppointments[[#This Row],[patient_id]],tblPatients[[patient_id]:[Age_Group]],12,FALSE)</f>
        <v>Laura Davis</v>
      </c>
      <c r="K108" s="4" t="str">
        <f>VLOOKUP(tblAppointments[[#This Row],[doctor_id]],tblDoctors[[doctor_id]:[Full_name]],9,FALSE)</f>
        <v>Robert Davis</v>
      </c>
    </row>
    <row r="109" spans="1:11" x14ac:dyDescent="0.35">
      <c r="A109" t="s">
        <v>332</v>
      </c>
      <c r="B109" t="s">
        <v>107</v>
      </c>
      <c r="C109" t="s">
        <v>198</v>
      </c>
      <c r="D109" s="1">
        <v>45037</v>
      </c>
      <c r="E109" s="2">
        <v>0.625</v>
      </c>
      <c r="F109" t="s">
        <v>226</v>
      </c>
      <c r="G109" t="s">
        <v>223</v>
      </c>
      <c r="H109" t="str">
        <f>TEXT(tblAppointments[[#This Row],[appointment_date]], "MMMM")</f>
        <v>April</v>
      </c>
      <c r="I109">
        <f>YEAR(tblAppointments[[#This Row],[appointment_date]])</f>
        <v>2023</v>
      </c>
      <c r="J109" s="4" t="str">
        <f>VLOOKUP(tblAppointments[[#This Row],[patient_id]],tblPatients[[patient_id]:[Age_Group]],12,FALSE)</f>
        <v>Sarah Brown</v>
      </c>
      <c r="K109" s="4" t="str">
        <f>VLOOKUP(tblAppointments[[#This Row],[doctor_id]],tblDoctors[[doctor_id]:[Full_name]],9,FALSE)</f>
        <v>Sarah Taylor</v>
      </c>
    </row>
    <row r="110" spans="1:11" x14ac:dyDescent="0.35">
      <c r="A110" t="s">
        <v>333</v>
      </c>
      <c r="B110" t="s">
        <v>139</v>
      </c>
      <c r="C110" t="s">
        <v>198</v>
      </c>
      <c r="D110" s="1">
        <v>45136</v>
      </c>
      <c r="E110" s="2">
        <v>0.58333333333333337</v>
      </c>
      <c r="F110" t="s">
        <v>232</v>
      </c>
      <c r="G110" t="s">
        <v>218</v>
      </c>
      <c r="H110" t="str">
        <f>TEXT(tblAppointments[[#This Row],[appointment_date]], "MMMM")</f>
        <v>July</v>
      </c>
      <c r="I110">
        <f>YEAR(tblAppointments[[#This Row],[appointment_date]])</f>
        <v>2023</v>
      </c>
      <c r="J110" s="4" t="str">
        <f>VLOOKUP(tblAppointments[[#This Row],[patient_id]],tblPatients[[patient_id]:[Age_Group]],12,FALSE)</f>
        <v>David Wilson</v>
      </c>
      <c r="K110" s="4" t="str">
        <f>VLOOKUP(tblAppointments[[#This Row],[doctor_id]],tblDoctors[[doctor_id]:[Full_name]],9,FALSE)</f>
        <v>Sarah Taylor</v>
      </c>
    </row>
    <row r="111" spans="1:11" x14ac:dyDescent="0.35">
      <c r="A111" t="s">
        <v>334</v>
      </c>
      <c r="B111" t="s">
        <v>175</v>
      </c>
      <c r="C111" t="s">
        <v>198</v>
      </c>
      <c r="D111" s="1">
        <v>45126</v>
      </c>
      <c r="E111" s="2">
        <v>0.60416666666666663</v>
      </c>
      <c r="F111" t="s">
        <v>222</v>
      </c>
      <c r="G111" t="s">
        <v>218</v>
      </c>
      <c r="H111" t="str">
        <f>TEXT(tblAppointments[[#This Row],[appointment_date]], "MMMM")</f>
        <v>July</v>
      </c>
      <c r="I111">
        <f>YEAR(tblAppointments[[#This Row],[appointment_date]])</f>
        <v>2023</v>
      </c>
      <c r="J111" s="4" t="str">
        <f>VLOOKUP(tblAppointments[[#This Row],[patient_id]],tblPatients[[patient_id]:[Age_Group]],12,FALSE)</f>
        <v>David Moore</v>
      </c>
      <c r="K111" s="4" t="str">
        <f>VLOOKUP(tblAppointments[[#This Row],[doctor_id]],tblDoctors[[doctor_id]:[Full_name]],9,FALSE)</f>
        <v>Sarah Taylor</v>
      </c>
    </row>
    <row r="112" spans="1:11" x14ac:dyDescent="0.35">
      <c r="A112" t="s">
        <v>335</v>
      </c>
      <c r="B112" t="s">
        <v>139</v>
      </c>
      <c r="C112" t="s">
        <v>209</v>
      </c>
      <c r="D112" s="1">
        <v>45068</v>
      </c>
      <c r="E112" s="2">
        <v>0.64583333333333337</v>
      </c>
      <c r="F112" t="s">
        <v>232</v>
      </c>
      <c r="G112" t="s">
        <v>218</v>
      </c>
      <c r="H112" t="str">
        <f>TEXT(tblAppointments[[#This Row],[appointment_date]], "MMMM")</f>
        <v>May</v>
      </c>
      <c r="I112">
        <f>YEAR(tblAppointments[[#This Row],[appointment_date]])</f>
        <v>2023</v>
      </c>
      <c r="J112" s="4" t="str">
        <f>VLOOKUP(tblAppointments[[#This Row],[patient_id]],tblPatients[[patient_id]:[Age_Group]],12,FALSE)</f>
        <v>David Wilson</v>
      </c>
      <c r="K112" s="4" t="str">
        <f>VLOOKUP(tblAppointments[[#This Row],[doctor_id]],tblDoctors[[doctor_id]:[Full_name]],9,FALSE)</f>
        <v>Linda Wilson</v>
      </c>
    </row>
    <row r="113" spans="1:11" x14ac:dyDescent="0.35">
      <c r="A113" t="s">
        <v>336</v>
      </c>
      <c r="B113" t="s">
        <v>172</v>
      </c>
      <c r="C113" t="s">
        <v>209</v>
      </c>
      <c r="D113" s="1">
        <v>44937</v>
      </c>
      <c r="E113" s="2">
        <v>0.33333333333333331</v>
      </c>
      <c r="F113" t="s">
        <v>232</v>
      </c>
      <c r="G113" t="s">
        <v>220</v>
      </c>
      <c r="H113" t="str">
        <f>TEXT(tblAppointments[[#This Row],[appointment_date]], "MMMM")</f>
        <v>January</v>
      </c>
      <c r="I113">
        <f>YEAR(tblAppointments[[#This Row],[appointment_date]])</f>
        <v>2023</v>
      </c>
      <c r="J113" s="4" t="str">
        <f>VLOOKUP(tblAppointments[[#This Row],[patient_id]],tblPatients[[patient_id]:[Age_Group]],12,FALSE)</f>
        <v>Emily Miller</v>
      </c>
      <c r="K113" s="4" t="str">
        <f>VLOOKUP(tblAppointments[[#This Row],[doctor_id]],tblDoctors[[doctor_id]:[Full_name]],9,FALSE)</f>
        <v>Linda Wilson</v>
      </c>
    </row>
    <row r="114" spans="1:11" x14ac:dyDescent="0.35">
      <c r="A114" t="s">
        <v>337</v>
      </c>
      <c r="B114" t="s">
        <v>141</v>
      </c>
      <c r="C114" t="s">
        <v>193</v>
      </c>
      <c r="D114" s="1">
        <v>45254</v>
      </c>
      <c r="E114" s="2">
        <v>0.64583333333333337</v>
      </c>
      <c r="F114" t="s">
        <v>222</v>
      </c>
      <c r="G114" t="s">
        <v>223</v>
      </c>
      <c r="H114" t="str">
        <f>TEXT(tblAppointments[[#This Row],[appointment_date]], "MMMM")</f>
        <v>November</v>
      </c>
      <c r="I114">
        <f>YEAR(tblAppointments[[#This Row],[appointment_date]])</f>
        <v>2023</v>
      </c>
      <c r="J114" s="4" t="str">
        <f>VLOOKUP(tblAppointments[[#This Row],[patient_id]],tblPatients[[patient_id]:[Age_Group]],12,FALSE)</f>
        <v>Michael Wilson</v>
      </c>
      <c r="K114" s="4" t="str">
        <f>VLOOKUP(tblAppointments[[#This Row],[doctor_id]],tblDoctors[[doctor_id]:[Full_name]],9,FALSE)</f>
        <v>Jane Smith</v>
      </c>
    </row>
    <row r="115" spans="1:11" x14ac:dyDescent="0.35">
      <c r="A115" t="s">
        <v>338</v>
      </c>
      <c r="B115" t="s">
        <v>85</v>
      </c>
      <c r="C115" t="s">
        <v>185</v>
      </c>
      <c r="D115" s="1">
        <v>45146</v>
      </c>
      <c r="E115" s="2">
        <v>0.375</v>
      </c>
      <c r="F115" t="s">
        <v>217</v>
      </c>
      <c r="G115" t="s">
        <v>234</v>
      </c>
      <c r="H115" t="str">
        <f>TEXT(tblAppointments[[#This Row],[appointment_date]], "MMMM")</f>
        <v>August</v>
      </c>
      <c r="I115">
        <f>YEAR(tblAppointments[[#This Row],[appointment_date]])</f>
        <v>2023</v>
      </c>
      <c r="J115" s="4" t="str">
        <f>VLOOKUP(tblAppointments[[#This Row],[patient_id]],tblPatients[[patient_id]:[Age_Group]],12,FALSE)</f>
        <v>Laura Wilson</v>
      </c>
      <c r="K115" s="4" t="str">
        <f>VLOOKUP(tblAppointments[[#This Row],[doctor_id]],tblDoctors[[doctor_id]:[Full_name]],9,FALSE)</f>
        <v>David Taylor</v>
      </c>
    </row>
    <row r="116" spans="1:11" x14ac:dyDescent="0.35">
      <c r="A116" t="s">
        <v>339</v>
      </c>
      <c r="B116" t="s">
        <v>175</v>
      </c>
      <c r="C116" t="s">
        <v>198</v>
      </c>
      <c r="D116" s="1">
        <v>45224</v>
      </c>
      <c r="E116" s="2">
        <v>0.4375</v>
      </c>
      <c r="F116" t="s">
        <v>217</v>
      </c>
      <c r="G116" t="s">
        <v>220</v>
      </c>
      <c r="H116" t="str">
        <f>TEXT(tblAppointments[[#This Row],[appointment_date]], "MMMM")</f>
        <v>October</v>
      </c>
      <c r="I116">
        <f>YEAR(tblAppointments[[#This Row],[appointment_date]])</f>
        <v>2023</v>
      </c>
      <c r="J116" s="4" t="str">
        <f>VLOOKUP(tblAppointments[[#This Row],[patient_id]],tblPatients[[patient_id]:[Age_Group]],12,FALSE)</f>
        <v>David Moore</v>
      </c>
      <c r="K116" s="4" t="str">
        <f>VLOOKUP(tblAppointments[[#This Row],[doctor_id]],tblDoctors[[doctor_id]:[Full_name]],9,FALSE)</f>
        <v>Sarah Taylor</v>
      </c>
    </row>
    <row r="117" spans="1:11" x14ac:dyDescent="0.35">
      <c r="A117" t="s">
        <v>340</v>
      </c>
      <c r="B117" t="s">
        <v>148</v>
      </c>
      <c r="C117" t="s">
        <v>207</v>
      </c>
      <c r="D117" s="1">
        <v>45114</v>
      </c>
      <c r="E117" s="2">
        <v>0.38541666666666669</v>
      </c>
      <c r="F117" t="s">
        <v>232</v>
      </c>
      <c r="G117" t="s">
        <v>220</v>
      </c>
      <c r="H117" t="str">
        <f>TEXT(tblAppointments[[#This Row],[appointment_date]], "MMMM")</f>
        <v>July</v>
      </c>
      <c r="I117">
        <f>YEAR(tblAppointments[[#This Row],[appointment_date]])</f>
        <v>2023</v>
      </c>
      <c r="J117" s="4" t="str">
        <f>VLOOKUP(tblAppointments[[#This Row],[patient_id]],tblPatients[[patient_id]:[Age_Group]],12,FALSE)</f>
        <v>Jane Wilson</v>
      </c>
      <c r="K117" s="4" t="str">
        <f>VLOOKUP(tblAppointments[[#This Row],[doctor_id]],tblDoctors[[doctor_id]:[Full_name]],9,FALSE)</f>
        <v>Sarah Smith</v>
      </c>
    </row>
    <row r="118" spans="1:11" x14ac:dyDescent="0.35">
      <c r="A118" t="s">
        <v>341</v>
      </c>
      <c r="B118" t="s">
        <v>132</v>
      </c>
      <c r="C118" t="s">
        <v>185</v>
      </c>
      <c r="D118" s="1">
        <v>45097</v>
      </c>
      <c r="E118" s="2">
        <v>0.57291666666666663</v>
      </c>
      <c r="F118" t="s">
        <v>222</v>
      </c>
      <c r="G118" t="s">
        <v>220</v>
      </c>
      <c r="H118" t="str">
        <f>TEXT(tblAppointments[[#This Row],[appointment_date]], "MMMM")</f>
        <v>June</v>
      </c>
      <c r="I118">
        <f>YEAR(tblAppointments[[#This Row],[appointment_date]])</f>
        <v>2023</v>
      </c>
      <c r="J118" s="4" t="str">
        <f>VLOOKUP(tblAppointments[[#This Row],[patient_id]],tblPatients[[patient_id]:[Age_Group]],12,FALSE)</f>
        <v>Alex Moore</v>
      </c>
      <c r="K118" s="4" t="str">
        <f>VLOOKUP(tblAppointments[[#This Row],[doctor_id]],tblDoctors[[doctor_id]:[Full_name]],9,FALSE)</f>
        <v>David Taylor</v>
      </c>
    </row>
    <row r="119" spans="1:11" x14ac:dyDescent="0.35">
      <c r="A119" t="s">
        <v>342</v>
      </c>
      <c r="B119" t="s">
        <v>107</v>
      </c>
      <c r="C119" t="s">
        <v>193</v>
      </c>
      <c r="D119" s="1">
        <v>45147</v>
      </c>
      <c r="E119" s="2">
        <v>0.34375</v>
      </c>
      <c r="F119" t="s">
        <v>222</v>
      </c>
      <c r="G119" t="s">
        <v>218</v>
      </c>
      <c r="H119" t="str">
        <f>TEXT(tblAppointments[[#This Row],[appointment_date]], "MMMM")</f>
        <v>August</v>
      </c>
      <c r="I119">
        <f>YEAR(tblAppointments[[#This Row],[appointment_date]])</f>
        <v>2023</v>
      </c>
      <c r="J119" s="4" t="str">
        <f>VLOOKUP(tblAppointments[[#This Row],[patient_id]],tblPatients[[patient_id]:[Age_Group]],12,FALSE)</f>
        <v>Sarah Brown</v>
      </c>
      <c r="K119" s="4" t="str">
        <f>VLOOKUP(tblAppointments[[#This Row],[doctor_id]],tblDoctors[[doctor_id]:[Full_name]],9,FALSE)</f>
        <v>Jane Smith</v>
      </c>
    </row>
    <row r="120" spans="1:11" x14ac:dyDescent="0.35">
      <c r="A120" t="s">
        <v>343</v>
      </c>
      <c r="B120" t="s">
        <v>104</v>
      </c>
      <c r="C120" t="s">
        <v>195</v>
      </c>
      <c r="D120" s="1">
        <v>45278</v>
      </c>
      <c r="E120" s="2">
        <v>0.5625</v>
      </c>
      <c r="F120" t="s">
        <v>226</v>
      </c>
      <c r="G120" t="s">
        <v>223</v>
      </c>
      <c r="H120" t="str">
        <f>TEXT(tblAppointments[[#This Row],[appointment_date]], "MMMM")</f>
        <v>December</v>
      </c>
      <c r="I120">
        <f>YEAR(tblAppointments[[#This Row],[appointment_date]])</f>
        <v>2023</v>
      </c>
      <c r="J120" s="4" t="str">
        <f>VLOOKUP(tblAppointments[[#This Row],[patient_id]],tblPatients[[patient_id]:[Age_Group]],12,FALSE)</f>
        <v>Linda Johnson</v>
      </c>
      <c r="K120" s="4" t="str">
        <f>VLOOKUP(tblAppointments[[#This Row],[doctor_id]],tblDoctors[[doctor_id]:[Full_name]],9,FALSE)</f>
        <v>David Jones</v>
      </c>
    </row>
    <row r="121" spans="1:11" x14ac:dyDescent="0.35">
      <c r="A121" t="s">
        <v>344</v>
      </c>
      <c r="B121" t="s">
        <v>132</v>
      </c>
      <c r="C121" t="s">
        <v>185</v>
      </c>
      <c r="D121" s="1">
        <v>45268</v>
      </c>
      <c r="E121" s="2">
        <v>0.45833333333333331</v>
      </c>
      <c r="F121" t="s">
        <v>217</v>
      </c>
      <c r="G121" t="s">
        <v>220</v>
      </c>
      <c r="H121" t="str">
        <f>TEXT(tblAppointments[[#This Row],[appointment_date]], "MMMM")</f>
        <v>December</v>
      </c>
      <c r="I121">
        <f>YEAR(tblAppointments[[#This Row],[appointment_date]])</f>
        <v>2023</v>
      </c>
      <c r="J121" s="4" t="str">
        <f>VLOOKUP(tblAppointments[[#This Row],[patient_id]],tblPatients[[patient_id]:[Age_Group]],12,FALSE)</f>
        <v>Alex Moore</v>
      </c>
      <c r="K121" s="4" t="str">
        <f>VLOOKUP(tblAppointments[[#This Row],[doctor_id]],tblDoctors[[doctor_id]:[Full_name]],9,FALSE)</f>
        <v>David Taylor</v>
      </c>
    </row>
    <row r="122" spans="1:11" x14ac:dyDescent="0.35">
      <c r="A122" t="s">
        <v>345</v>
      </c>
      <c r="B122" t="s">
        <v>143</v>
      </c>
      <c r="C122" t="s">
        <v>185</v>
      </c>
      <c r="D122" s="1">
        <v>45023</v>
      </c>
      <c r="E122" s="2">
        <v>0.625</v>
      </c>
      <c r="F122" t="s">
        <v>228</v>
      </c>
      <c r="G122" t="s">
        <v>234</v>
      </c>
      <c r="H122" t="str">
        <f>TEXT(tblAppointments[[#This Row],[appointment_date]], "MMMM")</f>
        <v>April</v>
      </c>
      <c r="I122">
        <f>YEAR(tblAppointments[[#This Row],[appointment_date]])</f>
        <v>2023</v>
      </c>
      <c r="J122" s="4" t="str">
        <f>VLOOKUP(tblAppointments[[#This Row],[patient_id]],tblPatients[[patient_id]:[Age_Group]],12,FALSE)</f>
        <v>Robert Williams</v>
      </c>
      <c r="K122" s="4" t="str">
        <f>VLOOKUP(tblAppointments[[#This Row],[doctor_id]],tblDoctors[[doctor_id]:[Full_name]],9,FALSE)</f>
        <v>David Taylor</v>
      </c>
    </row>
    <row r="123" spans="1:11" x14ac:dyDescent="0.35">
      <c r="A123" t="s">
        <v>346</v>
      </c>
      <c r="B123" t="s">
        <v>67</v>
      </c>
      <c r="C123" t="s">
        <v>205</v>
      </c>
      <c r="D123" s="1">
        <v>45118</v>
      </c>
      <c r="E123" s="2">
        <v>0.60416666666666663</v>
      </c>
      <c r="F123" t="s">
        <v>217</v>
      </c>
      <c r="G123" t="s">
        <v>223</v>
      </c>
      <c r="H123" t="str">
        <f>TEXT(tblAppointments[[#This Row],[appointment_date]], "MMMM")</f>
        <v>July</v>
      </c>
      <c r="I123">
        <f>YEAR(tblAppointments[[#This Row],[appointment_date]])</f>
        <v>2023</v>
      </c>
      <c r="J123" s="4" t="str">
        <f>VLOOKUP(tblAppointments[[#This Row],[patient_id]],tblPatients[[patient_id]:[Age_Group]],12,FALSE)</f>
        <v>Laura Davis</v>
      </c>
      <c r="K123" s="4" t="str">
        <f>VLOOKUP(tblAppointments[[#This Row],[doctor_id]],tblDoctors[[doctor_id]:[Full_name]],9,FALSE)</f>
        <v>Linda Brown</v>
      </c>
    </row>
    <row r="124" spans="1:11" x14ac:dyDescent="0.35">
      <c r="A124" t="s">
        <v>347</v>
      </c>
      <c r="B124" t="s">
        <v>175</v>
      </c>
      <c r="C124" t="s">
        <v>189</v>
      </c>
      <c r="D124" s="1">
        <v>44985</v>
      </c>
      <c r="E124" s="2">
        <v>0.44791666666666669</v>
      </c>
      <c r="F124" t="s">
        <v>217</v>
      </c>
      <c r="G124" t="s">
        <v>234</v>
      </c>
      <c r="H124" t="str">
        <f>TEXT(tblAppointments[[#This Row],[appointment_date]], "MMMM")</f>
        <v>February</v>
      </c>
      <c r="I124">
        <f>YEAR(tblAppointments[[#This Row],[appointment_date]])</f>
        <v>2023</v>
      </c>
      <c r="J124" s="4" t="str">
        <f>VLOOKUP(tblAppointments[[#This Row],[patient_id]],tblPatients[[patient_id]:[Age_Group]],12,FALSE)</f>
        <v>David Moore</v>
      </c>
      <c r="K124" s="4" t="str">
        <f>VLOOKUP(tblAppointments[[#This Row],[doctor_id]],tblDoctors[[doctor_id]:[Full_name]],9,FALSE)</f>
        <v>Jane Davis</v>
      </c>
    </row>
    <row r="125" spans="1:11" x14ac:dyDescent="0.35">
      <c r="A125" t="s">
        <v>348</v>
      </c>
      <c r="B125" t="s">
        <v>69</v>
      </c>
      <c r="C125" t="s">
        <v>205</v>
      </c>
      <c r="D125" s="1">
        <v>45001</v>
      </c>
      <c r="E125" s="2">
        <v>0.71875</v>
      </c>
      <c r="F125" t="s">
        <v>226</v>
      </c>
      <c r="G125" t="s">
        <v>223</v>
      </c>
      <c r="H125" t="str">
        <f>TEXT(tblAppointments[[#This Row],[appointment_date]], "MMMM")</f>
        <v>March</v>
      </c>
      <c r="I125">
        <f>YEAR(tblAppointments[[#This Row],[appointment_date]])</f>
        <v>2023</v>
      </c>
      <c r="J125" s="4" t="str">
        <f>VLOOKUP(tblAppointments[[#This Row],[patient_id]],tblPatients[[patient_id]:[Age_Group]],12,FALSE)</f>
        <v>Laura Johnson</v>
      </c>
      <c r="K125" s="4" t="str">
        <f>VLOOKUP(tblAppointments[[#This Row],[doctor_id]],tblDoctors[[doctor_id]:[Full_name]],9,FALSE)</f>
        <v>Linda Brown</v>
      </c>
    </row>
    <row r="126" spans="1:11" x14ac:dyDescent="0.35">
      <c r="A126" t="s">
        <v>349</v>
      </c>
      <c r="B126" t="s">
        <v>104</v>
      </c>
      <c r="C126" t="s">
        <v>202</v>
      </c>
      <c r="D126" s="1">
        <v>44975</v>
      </c>
      <c r="E126" s="2">
        <v>0.42708333333333331</v>
      </c>
      <c r="F126" t="s">
        <v>228</v>
      </c>
      <c r="G126" t="s">
        <v>234</v>
      </c>
      <c r="H126" t="str">
        <f>TEXT(tblAppointments[[#This Row],[appointment_date]], "MMMM")</f>
        <v>February</v>
      </c>
      <c r="I126">
        <f>YEAR(tblAppointments[[#This Row],[appointment_date]])</f>
        <v>2023</v>
      </c>
      <c r="J126" s="4" t="str">
        <f>VLOOKUP(tblAppointments[[#This Row],[patient_id]],tblPatients[[patient_id]:[Age_Group]],12,FALSE)</f>
        <v>Linda Johnson</v>
      </c>
      <c r="K126" s="4" t="str">
        <f>VLOOKUP(tblAppointments[[#This Row],[doctor_id]],tblDoctors[[doctor_id]:[Full_name]],9,FALSE)</f>
        <v>Robert Davis</v>
      </c>
    </row>
    <row r="127" spans="1:11" x14ac:dyDescent="0.35">
      <c r="A127" t="s">
        <v>350</v>
      </c>
      <c r="B127" t="s">
        <v>110</v>
      </c>
      <c r="C127" t="s">
        <v>209</v>
      </c>
      <c r="D127" s="1">
        <v>45232</v>
      </c>
      <c r="E127" s="2">
        <v>0.40625</v>
      </c>
      <c r="F127" t="s">
        <v>226</v>
      </c>
      <c r="G127" t="s">
        <v>218</v>
      </c>
      <c r="H127" t="str">
        <f>TEXT(tblAppointments[[#This Row],[appointment_date]], "MMMM")</f>
        <v>November</v>
      </c>
      <c r="I127">
        <f>YEAR(tblAppointments[[#This Row],[appointment_date]])</f>
        <v>2023</v>
      </c>
      <c r="J127" s="4" t="str">
        <f>VLOOKUP(tblAppointments[[#This Row],[patient_id]],tblPatients[[patient_id]:[Age_Group]],12,FALSE)</f>
        <v>Robert Wilson</v>
      </c>
      <c r="K127" s="4" t="str">
        <f>VLOOKUP(tblAppointments[[#This Row],[doctor_id]],tblDoctors[[doctor_id]:[Full_name]],9,FALSE)</f>
        <v>Linda Wilson</v>
      </c>
    </row>
    <row r="128" spans="1:11" x14ac:dyDescent="0.35">
      <c r="A128" t="s">
        <v>351</v>
      </c>
      <c r="B128" t="s">
        <v>139</v>
      </c>
      <c r="C128" t="s">
        <v>209</v>
      </c>
      <c r="D128" s="1">
        <v>45243</v>
      </c>
      <c r="E128" s="2">
        <v>0.35416666666666669</v>
      </c>
      <c r="F128" t="s">
        <v>228</v>
      </c>
      <c r="G128" t="s">
        <v>220</v>
      </c>
      <c r="H128" t="str">
        <f>TEXT(tblAppointments[[#This Row],[appointment_date]], "MMMM")</f>
        <v>November</v>
      </c>
      <c r="I128">
        <f>YEAR(tblAppointments[[#This Row],[appointment_date]])</f>
        <v>2023</v>
      </c>
      <c r="J128" s="4" t="str">
        <f>VLOOKUP(tblAppointments[[#This Row],[patient_id]],tblPatients[[patient_id]:[Age_Group]],12,FALSE)</f>
        <v>David Wilson</v>
      </c>
      <c r="K128" s="4" t="str">
        <f>VLOOKUP(tblAppointments[[#This Row],[doctor_id]],tblDoctors[[doctor_id]:[Full_name]],9,FALSE)</f>
        <v>Linda Wilson</v>
      </c>
    </row>
    <row r="129" spans="1:11" x14ac:dyDescent="0.35">
      <c r="A129" t="s">
        <v>352</v>
      </c>
      <c r="B129" t="s">
        <v>154</v>
      </c>
      <c r="C129" t="s">
        <v>189</v>
      </c>
      <c r="D129" s="1">
        <v>45031</v>
      </c>
      <c r="E129" s="2">
        <v>0.61458333333333337</v>
      </c>
      <c r="F129" t="s">
        <v>232</v>
      </c>
      <c r="G129" t="s">
        <v>234</v>
      </c>
      <c r="H129" t="str">
        <f>TEXT(tblAppointments[[#This Row],[appointment_date]], "MMMM")</f>
        <v>April</v>
      </c>
      <c r="I129">
        <f>YEAR(tblAppointments[[#This Row],[appointment_date]])</f>
        <v>2023</v>
      </c>
      <c r="J129" s="4" t="str">
        <f>VLOOKUP(tblAppointments[[#This Row],[patient_id]],tblPatients[[patient_id]:[Age_Group]],12,FALSE)</f>
        <v>Robert Williams</v>
      </c>
      <c r="K129" s="4" t="str">
        <f>VLOOKUP(tblAppointments[[#This Row],[doctor_id]],tblDoctors[[doctor_id]:[Full_name]],9,FALSE)</f>
        <v>Jane Davis</v>
      </c>
    </row>
    <row r="130" spans="1:11" x14ac:dyDescent="0.35">
      <c r="A130" t="s">
        <v>353</v>
      </c>
      <c r="B130" t="s">
        <v>126</v>
      </c>
      <c r="C130" t="s">
        <v>200</v>
      </c>
      <c r="D130" s="1">
        <v>45163</v>
      </c>
      <c r="E130" s="2">
        <v>0.39583333333333331</v>
      </c>
      <c r="F130" t="s">
        <v>228</v>
      </c>
      <c r="G130" t="s">
        <v>223</v>
      </c>
      <c r="H130" t="str">
        <f>TEXT(tblAppointments[[#This Row],[appointment_date]], "MMMM")</f>
        <v>August</v>
      </c>
      <c r="I130">
        <f>YEAR(tblAppointments[[#This Row],[appointment_date]])</f>
        <v>2023</v>
      </c>
      <c r="J130" s="4" t="str">
        <f>VLOOKUP(tblAppointments[[#This Row],[patient_id]],tblPatients[[patient_id]:[Age_Group]],12,FALSE)</f>
        <v>Emily Moore</v>
      </c>
      <c r="K130" s="4" t="str">
        <f>VLOOKUP(tblAppointments[[#This Row],[doctor_id]],tblDoctors[[doctor_id]:[Full_name]],9,FALSE)</f>
        <v>Alex Davis</v>
      </c>
    </row>
    <row r="131" spans="1:11" x14ac:dyDescent="0.35">
      <c r="A131" t="s">
        <v>354</v>
      </c>
      <c r="B131" t="s">
        <v>81</v>
      </c>
      <c r="C131" t="s">
        <v>200</v>
      </c>
      <c r="D131" s="1">
        <v>44980</v>
      </c>
      <c r="E131" s="2">
        <v>0.625</v>
      </c>
      <c r="F131" t="s">
        <v>226</v>
      </c>
      <c r="G131" t="s">
        <v>220</v>
      </c>
      <c r="H131" t="str">
        <f>TEXT(tblAppointments[[#This Row],[appointment_date]], "MMMM")</f>
        <v>February</v>
      </c>
      <c r="I131">
        <f>YEAR(tblAppointments[[#This Row],[appointment_date]])</f>
        <v>2023</v>
      </c>
      <c r="J131" s="4" t="str">
        <f>VLOOKUP(tblAppointments[[#This Row],[patient_id]],tblPatients[[patient_id]:[Age_Group]],12,FALSE)</f>
        <v>Jane Jones</v>
      </c>
      <c r="K131" s="4" t="str">
        <f>VLOOKUP(tblAppointments[[#This Row],[doctor_id]],tblDoctors[[doctor_id]:[Full_name]],9,FALSE)</f>
        <v>Alex Davis</v>
      </c>
    </row>
    <row r="132" spans="1:11" x14ac:dyDescent="0.35">
      <c r="A132" t="s">
        <v>355</v>
      </c>
      <c r="B132" t="s">
        <v>175</v>
      </c>
      <c r="C132" t="s">
        <v>193</v>
      </c>
      <c r="D132" s="1">
        <v>45057</v>
      </c>
      <c r="E132" s="2">
        <v>0.6875</v>
      </c>
      <c r="F132" t="s">
        <v>217</v>
      </c>
      <c r="G132" t="s">
        <v>220</v>
      </c>
      <c r="H132" t="str">
        <f>TEXT(tblAppointments[[#This Row],[appointment_date]], "MMMM")</f>
        <v>May</v>
      </c>
      <c r="I132">
        <f>YEAR(tblAppointments[[#This Row],[appointment_date]])</f>
        <v>2023</v>
      </c>
      <c r="J132" s="4" t="str">
        <f>VLOOKUP(tblAppointments[[#This Row],[patient_id]],tblPatients[[patient_id]:[Age_Group]],12,FALSE)</f>
        <v>David Moore</v>
      </c>
      <c r="K132" s="4" t="str">
        <f>VLOOKUP(tblAppointments[[#This Row],[doctor_id]],tblDoctors[[doctor_id]:[Full_name]],9,FALSE)</f>
        <v>Jane Smith</v>
      </c>
    </row>
    <row r="133" spans="1:11" x14ac:dyDescent="0.35">
      <c r="A133" t="s">
        <v>356</v>
      </c>
      <c r="B133" t="s">
        <v>92</v>
      </c>
      <c r="C133" t="s">
        <v>189</v>
      </c>
      <c r="D133" s="1">
        <v>45133</v>
      </c>
      <c r="E133" s="2">
        <v>0.44791666666666669</v>
      </c>
      <c r="F133" t="s">
        <v>228</v>
      </c>
      <c r="G133" t="s">
        <v>223</v>
      </c>
      <c r="H133" t="str">
        <f>TEXT(tblAppointments[[#This Row],[appointment_date]], "MMMM")</f>
        <v>July</v>
      </c>
      <c r="I133">
        <f>YEAR(tblAppointments[[#This Row],[appointment_date]])</f>
        <v>2023</v>
      </c>
      <c r="J133" s="4" t="str">
        <f>VLOOKUP(tblAppointments[[#This Row],[patient_id]],tblPatients[[patient_id]:[Age_Group]],12,FALSE)</f>
        <v>Jane Moore</v>
      </c>
      <c r="K133" s="4" t="str">
        <f>VLOOKUP(tblAppointments[[#This Row],[doctor_id]],tblDoctors[[doctor_id]:[Full_name]],9,FALSE)</f>
        <v>Jane Davis</v>
      </c>
    </row>
    <row r="134" spans="1:11" x14ac:dyDescent="0.35">
      <c r="A134" t="s">
        <v>357</v>
      </c>
      <c r="B134" t="s">
        <v>172</v>
      </c>
      <c r="C134" t="s">
        <v>185</v>
      </c>
      <c r="D134" s="1">
        <v>45008</v>
      </c>
      <c r="E134" s="2">
        <v>0.60416666666666663</v>
      </c>
      <c r="F134" t="s">
        <v>228</v>
      </c>
      <c r="G134" t="s">
        <v>234</v>
      </c>
      <c r="H134" t="str">
        <f>TEXT(tblAppointments[[#This Row],[appointment_date]], "MMMM")</f>
        <v>March</v>
      </c>
      <c r="I134">
        <f>YEAR(tblAppointments[[#This Row],[appointment_date]])</f>
        <v>2023</v>
      </c>
      <c r="J134" s="4" t="str">
        <f>VLOOKUP(tblAppointments[[#This Row],[patient_id]],tblPatients[[patient_id]:[Age_Group]],12,FALSE)</f>
        <v>Emily Miller</v>
      </c>
      <c r="K134" s="4" t="str">
        <f>VLOOKUP(tblAppointments[[#This Row],[doctor_id]],tblDoctors[[doctor_id]:[Full_name]],9,FALSE)</f>
        <v>David Taylor</v>
      </c>
    </row>
    <row r="135" spans="1:11" x14ac:dyDescent="0.35">
      <c r="A135" t="s">
        <v>358</v>
      </c>
      <c r="B135" t="s">
        <v>110</v>
      </c>
      <c r="C135" t="s">
        <v>200</v>
      </c>
      <c r="D135" s="1">
        <v>45216</v>
      </c>
      <c r="E135" s="2">
        <v>0.63541666666666663</v>
      </c>
      <c r="F135" t="s">
        <v>222</v>
      </c>
      <c r="G135" t="s">
        <v>218</v>
      </c>
      <c r="H135" t="str">
        <f>TEXT(tblAppointments[[#This Row],[appointment_date]], "MMMM")</f>
        <v>October</v>
      </c>
      <c r="I135">
        <f>YEAR(tblAppointments[[#This Row],[appointment_date]])</f>
        <v>2023</v>
      </c>
      <c r="J135" s="4" t="str">
        <f>VLOOKUP(tblAppointments[[#This Row],[patient_id]],tblPatients[[patient_id]:[Age_Group]],12,FALSE)</f>
        <v>Robert Wilson</v>
      </c>
      <c r="K135" s="4" t="str">
        <f>VLOOKUP(tblAppointments[[#This Row],[doctor_id]],tblDoctors[[doctor_id]:[Full_name]],9,FALSE)</f>
        <v>Alex Davis</v>
      </c>
    </row>
    <row r="136" spans="1:11" x14ac:dyDescent="0.35">
      <c r="A136" t="s">
        <v>359</v>
      </c>
      <c r="B136" t="s">
        <v>99</v>
      </c>
      <c r="C136" t="s">
        <v>198</v>
      </c>
      <c r="D136" s="1">
        <v>45178</v>
      </c>
      <c r="E136" s="2">
        <v>0.6875</v>
      </c>
      <c r="F136" t="s">
        <v>217</v>
      </c>
      <c r="G136" t="s">
        <v>218</v>
      </c>
      <c r="H136" t="str">
        <f>TEXT(tblAppointments[[#This Row],[appointment_date]], "MMMM")</f>
        <v>September</v>
      </c>
      <c r="I136">
        <f>YEAR(tblAppointments[[#This Row],[appointment_date]])</f>
        <v>2023</v>
      </c>
      <c r="J136" s="4" t="str">
        <f>VLOOKUP(tblAppointments[[#This Row],[patient_id]],tblPatients[[patient_id]:[Age_Group]],12,FALSE)</f>
        <v>John Brown</v>
      </c>
      <c r="K136" s="4" t="str">
        <f>VLOOKUP(tblAppointments[[#This Row],[doctor_id]],tblDoctors[[doctor_id]:[Full_name]],9,FALSE)</f>
        <v>Sarah Taylor</v>
      </c>
    </row>
    <row r="137" spans="1:11" x14ac:dyDescent="0.35">
      <c r="A137" t="s">
        <v>360</v>
      </c>
      <c r="B137" t="s">
        <v>69</v>
      </c>
      <c r="C137" t="s">
        <v>207</v>
      </c>
      <c r="D137" s="1">
        <v>45059</v>
      </c>
      <c r="E137" s="2">
        <v>0.52083333333333337</v>
      </c>
      <c r="F137" t="s">
        <v>232</v>
      </c>
      <c r="G137" t="s">
        <v>234</v>
      </c>
      <c r="H137" t="str">
        <f>TEXT(tblAppointments[[#This Row],[appointment_date]], "MMMM")</f>
        <v>May</v>
      </c>
      <c r="I137">
        <f>YEAR(tblAppointments[[#This Row],[appointment_date]])</f>
        <v>2023</v>
      </c>
      <c r="J137" s="4" t="str">
        <f>VLOOKUP(tblAppointments[[#This Row],[patient_id]],tblPatients[[patient_id]:[Age_Group]],12,FALSE)</f>
        <v>Laura Johnson</v>
      </c>
      <c r="K137" s="4" t="str">
        <f>VLOOKUP(tblAppointments[[#This Row],[doctor_id]],tblDoctors[[doctor_id]:[Full_name]],9,FALSE)</f>
        <v>Sarah Smith</v>
      </c>
    </row>
    <row r="138" spans="1:11" x14ac:dyDescent="0.35">
      <c r="A138" t="s">
        <v>361</v>
      </c>
      <c r="B138" t="s">
        <v>88</v>
      </c>
      <c r="C138" t="s">
        <v>185</v>
      </c>
      <c r="D138" s="1">
        <v>45224</v>
      </c>
      <c r="E138" s="2">
        <v>0.41666666666666669</v>
      </c>
      <c r="F138" t="s">
        <v>226</v>
      </c>
      <c r="G138" t="s">
        <v>220</v>
      </c>
      <c r="H138" t="str">
        <f>TEXT(tblAppointments[[#This Row],[appointment_date]], "MMMM")</f>
        <v>October</v>
      </c>
      <c r="I138">
        <f>YEAR(tblAppointments[[#This Row],[appointment_date]])</f>
        <v>2023</v>
      </c>
      <c r="J138" s="4" t="str">
        <f>VLOOKUP(tblAppointments[[#This Row],[patient_id]],tblPatients[[patient_id]:[Age_Group]],12,FALSE)</f>
        <v>Sarah Miller</v>
      </c>
      <c r="K138" s="4" t="str">
        <f>VLOOKUP(tblAppointments[[#This Row],[doctor_id]],tblDoctors[[doctor_id]:[Full_name]],9,FALSE)</f>
        <v>David Taylor</v>
      </c>
    </row>
    <row r="139" spans="1:11" x14ac:dyDescent="0.35">
      <c r="A139" t="s">
        <v>362</v>
      </c>
      <c r="B139" t="s">
        <v>175</v>
      </c>
      <c r="C139" t="s">
        <v>202</v>
      </c>
      <c r="D139" s="1">
        <v>45286</v>
      </c>
      <c r="E139" s="2">
        <v>0.63541666666666663</v>
      </c>
      <c r="F139" t="s">
        <v>232</v>
      </c>
      <c r="G139" t="s">
        <v>220</v>
      </c>
      <c r="H139" t="str">
        <f>TEXT(tblAppointments[[#This Row],[appointment_date]], "MMMM")</f>
        <v>December</v>
      </c>
      <c r="I139">
        <f>YEAR(tblAppointments[[#This Row],[appointment_date]])</f>
        <v>2023</v>
      </c>
      <c r="J139" s="4" t="str">
        <f>VLOOKUP(tblAppointments[[#This Row],[patient_id]],tblPatients[[patient_id]:[Age_Group]],12,FALSE)</f>
        <v>David Moore</v>
      </c>
      <c r="K139" s="4" t="str">
        <f>VLOOKUP(tblAppointments[[#This Row],[doctor_id]],tblDoctors[[doctor_id]:[Full_name]],9,FALSE)</f>
        <v>Robert Davis</v>
      </c>
    </row>
    <row r="140" spans="1:11" x14ac:dyDescent="0.35">
      <c r="A140" t="s">
        <v>363</v>
      </c>
      <c r="B140" t="s">
        <v>141</v>
      </c>
      <c r="C140" t="s">
        <v>198</v>
      </c>
      <c r="D140" s="1">
        <v>45209</v>
      </c>
      <c r="E140" s="2">
        <v>0.44791666666666669</v>
      </c>
      <c r="F140" t="s">
        <v>217</v>
      </c>
      <c r="G140" t="s">
        <v>220</v>
      </c>
      <c r="H140" t="str">
        <f>TEXT(tblAppointments[[#This Row],[appointment_date]], "MMMM")</f>
        <v>October</v>
      </c>
      <c r="I140">
        <f>YEAR(tblAppointments[[#This Row],[appointment_date]])</f>
        <v>2023</v>
      </c>
      <c r="J140" s="4" t="str">
        <f>VLOOKUP(tblAppointments[[#This Row],[patient_id]],tblPatients[[patient_id]:[Age_Group]],12,FALSE)</f>
        <v>Michael Wilson</v>
      </c>
      <c r="K140" s="4" t="str">
        <f>VLOOKUP(tblAppointments[[#This Row],[doctor_id]],tblDoctors[[doctor_id]:[Full_name]],9,FALSE)</f>
        <v>Sarah Taylor</v>
      </c>
    </row>
    <row r="141" spans="1:11" x14ac:dyDescent="0.35">
      <c r="A141" t="s">
        <v>364</v>
      </c>
      <c r="B141" t="s">
        <v>67</v>
      </c>
      <c r="C141" t="s">
        <v>198</v>
      </c>
      <c r="D141" s="1">
        <v>44962</v>
      </c>
      <c r="E141" s="2">
        <v>0.63541666666666663</v>
      </c>
      <c r="F141" t="s">
        <v>228</v>
      </c>
      <c r="G141" t="s">
        <v>220</v>
      </c>
      <c r="H141" t="str">
        <f>TEXT(tblAppointments[[#This Row],[appointment_date]], "MMMM")</f>
        <v>February</v>
      </c>
      <c r="I141">
        <f>YEAR(tblAppointments[[#This Row],[appointment_date]])</f>
        <v>2023</v>
      </c>
      <c r="J141" s="4" t="str">
        <f>VLOOKUP(tblAppointments[[#This Row],[patient_id]],tblPatients[[patient_id]:[Age_Group]],12,FALSE)</f>
        <v>Laura Davis</v>
      </c>
      <c r="K141" s="4" t="str">
        <f>VLOOKUP(tblAppointments[[#This Row],[doctor_id]],tblDoctors[[doctor_id]:[Full_name]],9,FALSE)</f>
        <v>Sarah Taylor</v>
      </c>
    </row>
    <row r="142" spans="1:11" x14ac:dyDescent="0.35">
      <c r="A142" t="s">
        <v>365</v>
      </c>
      <c r="B142" t="s">
        <v>154</v>
      </c>
      <c r="C142" t="s">
        <v>189</v>
      </c>
      <c r="D142" s="1">
        <v>45092</v>
      </c>
      <c r="E142" s="2">
        <v>0.63541666666666663</v>
      </c>
      <c r="F142" t="s">
        <v>228</v>
      </c>
      <c r="G142" t="s">
        <v>234</v>
      </c>
      <c r="H142" t="str">
        <f>TEXT(tblAppointments[[#This Row],[appointment_date]], "MMMM")</f>
        <v>June</v>
      </c>
      <c r="I142">
        <f>YEAR(tblAppointments[[#This Row],[appointment_date]])</f>
        <v>2023</v>
      </c>
      <c r="J142" s="4" t="str">
        <f>VLOOKUP(tblAppointments[[#This Row],[patient_id]],tblPatients[[patient_id]:[Age_Group]],12,FALSE)</f>
        <v>Robert Williams</v>
      </c>
      <c r="K142" s="4" t="str">
        <f>VLOOKUP(tblAppointments[[#This Row],[doctor_id]],tblDoctors[[doctor_id]:[Full_name]],9,FALSE)</f>
        <v>Jane Davis</v>
      </c>
    </row>
    <row r="143" spans="1:11" x14ac:dyDescent="0.35">
      <c r="A143" t="s">
        <v>366</v>
      </c>
      <c r="B143" t="s">
        <v>88</v>
      </c>
      <c r="C143" t="s">
        <v>193</v>
      </c>
      <c r="D143" s="1">
        <v>45231</v>
      </c>
      <c r="E143" s="2">
        <v>0.48958333333333331</v>
      </c>
      <c r="F143" t="s">
        <v>217</v>
      </c>
      <c r="G143" t="s">
        <v>220</v>
      </c>
      <c r="H143" t="str">
        <f>TEXT(tblAppointments[[#This Row],[appointment_date]], "MMMM")</f>
        <v>November</v>
      </c>
      <c r="I143">
        <f>YEAR(tblAppointments[[#This Row],[appointment_date]])</f>
        <v>2023</v>
      </c>
      <c r="J143" s="4" t="str">
        <f>VLOOKUP(tblAppointments[[#This Row],[patient_id]],tblPatients[[patient_id]:[Age_Group]],12,FALSE)</f>
        <v>Sarah Miller</v>
      </c>
      <c r="K143" s="4" t="str">
        <f>VLOOKUP(tblAppointments[[#This Row],[doctor_id]],tblDoctors[[doctor_id]:[Full_name]],9,FALSE)</f>
        <v>Jane Smith</v>
      </c>
    </row>
    <row r="144" spans="1:11" x14ac:dyDescent="0.35">
      <c r="A144" t="s">
        <v>367</v>
      </c>
      <c r="B144" t="s">
        <v>67</v>
      </c>
      <c r="C144" t="s">
        <v>202</v>
      </c>
      <c r="D144" s="1">
        <v>45190</v>
      </c>
      <c r="E144" s="2">
        <v>0.51041666666666663</v>
      </c>
      <c r="F144" t="s">
        <v>228</v>
      </c>
      <c r="G144" t="s">
        <v>223</v>
      </c>
      <c r="H144" t="str">
        <f>TEXT(tblAppointments[[#This Row],[appointment_date]], "MMMM")</f>
        <v>September</v>
      </c>
      <c r="I144">
        <f>YEAR(tblAppointments[[#This Row],[appointment_date]])</f>
        <v>2023</v>
      </c>
      <c r="J144" s="4" t="str">
        <f>VLOOKUP(tblAppointments[[#This Row],[patient_id]],tblPatients[[patient_id]:[Age_Group]],12,FALSE)</f>
        <v>Laura Davis</v>
      </c>
      <c r="K144" s="4" t="str">
        <f>VLOOKUP(tblAppointments[[#This Row],[doctor_id]],tblDoctors[[doctor_id]:[Full_name]],9,FALSE)</f>
        <v>Robert Davis</v>
      </c>
    </row>
    <row r="145" spans="1:11" x14ac:dyDescent="0.35">
      <c r="A145" t="s">
        <v>368</v>
      </c>
      <c r="B145" t="s">
        <v>57</v>
      </c>
      <c r="C145" t="s">
        <v>200</v>
      </c>
      <c r="D145" s="1">
        <v>45154</v>
      </c>
      <c r="E145" s="2">
        <v>0.51041666666666663</v>
      </c>
      <c r="F145" t="s">
        <v>228</v>
      </c>
      <c r="G145" t="s">
        <v>220</v>
      </c>
      <c r="H145" t="str">
        <f>TEXT(tblAppointments[[#This Row],[appointment_date]], "MMMM")</f>
        <v>August</v>
      </c>
      <c r="I145">
        <f>YEAR(tblAppointments[[#This Row],[appointment_date]])</f>
        <v>2023</v>
      </c>
      <c r="J145" s="4" t="str">
        <f>VLOOKUP(tblAppointments[[#This Row],[patient_id]],tblPatients[[patient_id]:[Age_Group]],12,FALSE)</f>
        <v>Laura Davis</v>
      </c>
      <c r="K145" s="4" t="str">
        <f>VLOOKUP(tblAppointments[[#This Row],[doctor_id]],tblDoctors[[doctor_id]:[Full_name]],9,FALSE)</f>
        <v>Alex Davis</v>
      </c>
    </row>
    <row r="146" spans="1:11" x14ac:dyDescent="0.35">
      <c r="A146" t="s">
        <v>369</v>
      </c>
      <c r="B146" t="s">
        <v>48</v>
      </c>
      <c r="C146" t="s">
        <v>189</v>
      </c>
      <c r="D146" s="1">
        <v>45241</v>
      </c>
      <c r="E146" s="2">
        <v>0.61458333333333337</v>
      </c>
      <c r="F146" t="s">
        <v>228</v>
      </c>
      <c r="G146" t="s">
        <v>218</v>
      </c>
      <c r="H146" t="str">
        <f>TEXT(tblAppointments[[#This Row],[appointment_date]], "MMMM")</f>
        <v>November</v>
      </c>
      <c r="I146">
        <f>YEAR(tblAppointments[[#This Row],[appointment_date]])</f>
        <v>2023</v>
      </c>
      <c r="J146" s="4" t="str">
        <f>VLOOKUP(tblAppointments[[#This Row],[patient_id]],tblPatients[[patient_id]:[Age_Group]],12,FALSE)</f>
        <v>Alex Johnson</v>
      </c>
      <c r="K146" s="4" t="str">
        <f>VLOOKUP(tblAppointments[[#This Row],[doctor_id]],tblDoctors[[doctor_id]:[Full_name]],9,FALSE)</f>
        <v>Jane Davis</v>
      </c>
    </row>
    <row r="147" spans="1:11" x14ac:dyDescent="0.35">
      <c r="A147" t="s">
        <v>370</v>
      </c>
      <c r="B147" t="s">
        <v>120</v>
      </c>
      <c r="C147" t="s">
        <v>200</v>
      </c>
      <c r="D147" s="1">
        <v>44931</v>
      </c>
      <c r="E147" s="2">
        <v>0.39583333333333331</v>
      </c>
      <c r="F147" t="s">
        <v>226</v>
      </c>
      <c r="G147" t="s">
        <v>220</v>
      </c>
      <c r="H147" t="str">
        <f>TEXT(tblAppointments[[#This Row],[appointment_date]], "MMMM")</f>
        <v>January</v>
      </c>
      <c r="I147">
        <f>YEAR(tblAppointments[[#This Row],[appointment_date]])</f>
        <v>2023</v>
      </c>
      <c r="J147" s="4" t="str">
        <f>VLOOKUP(tblAppointments[[#This Row],[patient_id]],tblPatients[[patient_id]:[Age_Group]],12,FALSE)</f>
        <v>Alex Moore</v>
      </c>
      <c r="K147" s="4" t="str">
        <f>VLOOKUP(tblAppointments[[#This Row],[doctor_id]],tblDoctors[[doctor_id]:[Full_name]],9,FALSE)</f>
        <v>Alex Davis</v>
      </c>
    </row>
    <row r="148" spans="1:11" x14ac:dyDescent="0.35">
      <c r="A148" t="s">
        <v>371</v>
      </c>
      <c r="B148" t="s">
        <v>72</v>
      </c>
      <c r="C148" t="s">
        <v>189</v>
      </c>
      <c r="D148" s="1">
        <v>45243</v>
      </c>
      <c r="E148" s="2">
        <v>0.72916666666666663</v>
      </c>
      <c r="F148" t="s">
        <v>226</v>
      </c>
      <c r="G148" t="s">
        <v>234</v>
      </c>
      <c r="H148" t="str">
        <f>TEXT(tblAppointments[[#This Row],[appointment_date]], "MMMM")</f>
        <v>November</v>
      </c>
      <c r="I148">
        <f>YEAR(tblAppointments[[#This Row],[appointment_date]])</f>
        <v>2023</v>
      </c>
      <c r="J148" s="4" t="str">
        <f>VLOOKUP(tblAppointments[[#This Row],[patient_id]],tblPatients[[patient_id]:[Age_Group]],12,FALSE)</f>
        <v>Alex Taylor</v>
      </c>
      <c r="K148" s="4" t="str">
        <f>VLOOKUP(tblAppointments[[#This Row],[doctor_id]],tblDoctors[[doctor_id]:[Full_name]],9,FALSE)</f>
        <v>Jane Davis</v>
      </c>
    </row>
    <row r="149" spans="1:11" x14ac:dyDescent="0.35">
      <c r="A149" t="s">
        <v>372</v>
      </c>
      <c r="B149" t="s">
        <v>129</v>
      </c>
      <c r="C149" t="s">
        <v>189</v>
      </c>
      <c r="D149" s="1">
        <v>45266</v>
      </c>
      <c r="E149" s="2">
        <v>0.35416666666666669</v>
      </c>
      <c r="F149" t="s">
        <v>222</v>
      </c>
      <c r="G149" t="s">
        <v>218</v>
      </c>
      <c r="H149" t="str">
        <f>TEXT(tblAppointments[[#This Row],[appointment_date]], "MMMM")</f>
        <v>December</v>
      </c>
      <c r="I149">
        <f>YEAR(tblAppointments[[#This Row],[appointment_date]])</f>
        <v>2023</v>
      </c>
      <c r="J149" s="4" t="str">
        <f>VLOOKUP(tblAppointments[[#This Row],[patient_id]],tblPatients[[patient_id]:[Age_Group]],12,FALSE)</f>
        <v>Robert Miller</v>
      </c>
      <c r="K149" s="4" t="str">
        <f>VLOOKUP(tblAppointments[[#This Row],[doctor_id]],tblDoctors[[doctor_id]:[Full_name]],9,FALSE)</f>
        <v>Jane Davis</v>
      </c>
    </row>
    <row r="150" spans="1:11" x14ac:dyDescent="0.35">
      <c r="A150" t="s">
        <v>373</v>
      </c>
      <c r="B150" t="s">
        <v>88</v>
      </c>
      <c r="C150" t="s">
        <v>189</v>
      </c>
      <c r="D150" s="1">
        <v>45133</v>
      </c>
      <c r="E150" s="2">
        <v>0.52083333333333337</v>
      </c>
      <c r="F150" t="s">
        <v>232</v>
      </c>
      <c r="G150" t="s">
        <v>234</v>
      </c>
      <c r="H150" t="str">
        <f>TEXT(tblAppointments[[#This Row],[appointment_date]], "MMMM")</f>
        <v>July</v>
      </c>
      <c r="I150">
        <f>YEAR(tblAppointments[[#This Row],[appointment_date]])</f>
        <v>2023</v>
      </c>
      <c r="J150" s="4" t="str">
        <f>VLOOKUP(tblAppointments[[#This Row],[patient_id]],tblPatients[[patient_id]:[Age_Group]],12,FALSE)</f>
        <v>Sarah Miller</v>
      </c>
      <c r="K150" s="4" t="str">
        <f>VLOOKUP(tblAppointments[[#This Row],[doctor_id]],tblDoctors[[doctor_id]:[Full_name]],9,FALSE)</f>
        <v>Jane Davis</v>
      </c>
    </row>
    <row r="151" spans="1:11" x14ac:dyDescent="0.35">
      <c r="A151" t="s">
        <v>374</v>
      </c>
      <c r="B151" t="s">
        <v>170</v>
      </c>
      <c r="C151" t="s">
        <v>193</v>
      </c>
      <c r="D151" s="1">
        <v>45154</v>
      </c>
      <c r="E151" s="2">
        <v>0.44791666666666669</v>
      </c>
      <c r="F151" t="s">
        <v>217</v>
      </c>
      <c r="G151" t="s">
        <v>234</v>
      </c>
      <c r="H151" t="str">
        <f>TEXT(tblAppointments[[#This Row],[appointment_date]], "MMMM")</f>
        <v>August</v>
      </c>
      <c r="I151">
        <f>YEAR(tblAppointments[[#This Row],[appointment_date]])</f>
        <v>2023</v>
      </c>
      <c r="J151" s="4" t="str">
        <f>VLOOKUP(tblAppointments[[#This Row],[patient_id]],tblPatients[[patient_id]:[Age_Group]],12,FALSE)</f>
        <v>Jane Moore</v>
      </c>
      <c r="K151" s="4" t="str">
        <f>VLOOKUP(tblAppointments[[#This Row],[doctor_id]],tblDoctors[[doctor_id]:[Full_name]],9,FALSE)</f>
        <v>Jane Smith</v>
      </c>
    </row>
    <row r="152" spans="1:11" x14ac:dyDescent="0.35">
      <c r="A152" t="s">
        <v>375</v>
      </c>
      <c r="B152" t="s">
        <v>79</v>
      </c>
      <c r="C152" t="s">
        <v>189</v>
      </c>
      <c r="D152" s="1">
        <v>44954</v>
      </c>
      <c r="E152" s="2">
        <v>0.38541666666666669</v>
      </c>
      <c r="F152" t="s">
        <v>217</v>
      </c>
      <c r="G152" t="s">
        <v>218</v>
      </c>
      <c r="H152" t="str">
        <f>TEXT(tblAppointments[[#This Row],[appointment_date]], "MMMM")</f>
        <v>January</v>
      </c>
      <c r="I152">
        <f>YEAR(tblAppointments[[#This Row],[appointment_date]])</f>
        <v>2023</v>
      </c>
      <c r="J152" s="4" t="str">
        <f>VLOOKUP(tblAppointments[[#This Row],[patient_id]],tblPatients[[patient_id]:[Age_Group]],12,FALSE)</f>
        <v>Michael Taylor</v>
      </c>
      <c r="K152" s="4" t="str">
        <f>VLOOKUP(tblAppointments[[#This Row],[doctor_id]],tblDoctors[[doctor_id]:[Full_name]],9,FALSE)</f>
        <v>Jane Davis</v>
      </c>
    </row>
    <row r="153" spans="1:11" x14ac:dyDescent="0.35">
      <c r="A153" t="s">
        <v>376</v>
      </c>
      <c r="B153" t="s">
        <v>39</v>
      </c>
      <c r="C153" t="s">
        <v>195</v>
      </c>
      <c r="D153" s="1">
        <v>45030</v>
      </c>
      <c r="E153" s="2">
        <v>0.35416666666666669</v>
      </c>
      <c r="F153" t="s">
        <v>217</v>
      </c>
      <c r="G153" t="s">
        <v>234</v>
      </c>
      <c r="H153" t="str">
        <f>TEXT(tblAppointments[[#This Row],[appointment_date]], "MMMM")</f>
        <v>April</v>
      </c>
      <c r="I153">
        <f>YEAR(tblAppointments[[#This Row],[appointment_date]])</f>
        <v>2023</v>
      </c>
      <c r="J153" s="4" t="str">
        <f>VLOOKUP(tblAppointments[[#This Row],[patient_id]],tblPatients[[patient_id]:[Age_Group]],12,FALSE)</f>
        <v>David Wilson</v>
      </c>
      <c r="K153" s="4" t="str">
        <f>VLOOKUP(tblAppointments[[#This Row],[doctor_id]],tblDoctors[[doctor_id]:[Full_name]],9,FALSE)</f>
        <v>David Jones</v>
      </c>
    </row>
    <row r="154" spans="1:11" x14ac:dyDescent="0.35">
      <c r="A154" t="s">
        <v>377</v>
      </c>
      <c r="B154" t="s">
        <v>139</v>
      </c>
      <c r="C154" t="s">
        <v>207</v>
      </c>
      <c r="D154" s="1">
        <v>45115</v>
      </c>
      <c r="E154" s="2">
        <v>0.53125</v>
      </c>
      <c r="F154" t="s">
        <v>222</v>
      </c>
      <c r="G154" t="s">
        <v>234</v>
      </c>
      <c r="H154" t="str">
        <f>TEXT(tblAppointments[[#This Row],[appointment_date]], "MMMM")</f>
        <v>July</v>
      </c>
      <c r="I154">
        <f>YEAR(tblAppointments[[#This Row],[appointment_date]])</f>
        <v>2023</v>
      </c>
      <c r="J154" s="4" t="str">
        <f>VLOOKUP(tblAppointments[[#This Row],[patient_id]],tblPatients[[patient_id]:[Age_Group]],12,FALSE)</f>
        <v>David Wilson</v>
      </c>
      <c r="K154" s="4" t="str">
        <f>VLOOKUP(tblAppointments[[#This Row],[doctor_id]],tblDoctors[[doctor_id]:[Full_name]],9,FALSE)</f>
        <v>Sarah Smith</v>
      </c>
    </row>
    <row r="155" spans="1:11" x14ac:dyDescent="0.35">
      <c r="A155" t="s">
        <v>378</v>
      </c>
      <c r="B155" t="s">
        <v>67</v>
      </c>
      <c r="C155" t="s">
        <v>200</v>
      </c>
      <c r="D155" s="1">
        <v>44991</v>
      </c>
      <c r="E155" s="2">
        <v>0.72916666666666663</v>
      </c>
      <c r="F155" t="s">
        <v>226</v>
      </c>
      <c r="G155" t="s">
        <v>220</v>
      </c>
      <c r="H155" t="str">
        <f>TEXT(tblAppointments[[#This Row],[appointment_date]], "MMMM")</f>
        <v>March</v>
      </c>
      <c r="I155">
        <f>YEAR(tblAppointments[[#This Row],[appointment_date]])</f>
        <v>2023</v>
      </c>
      <c r="J155" s="4" t="str">
        <f>VLOOKUP(tblAppointments[[#This Row],[patient_id]],tblPatients[[patient_id]:[Age_Group]],12,FALSE)</f>
        <v>Laura Davis</v>
      </c>
      <c r="K155" s="4" t="str">
        <f>VLOOKUP(tblAppointments[[#This Row],[doctor_id]],tblDoctors[[doctor_id]:[Full_name]],9,FALSE)</f>
        <v>Alex Davis</v>
      </c>
    </row>
    <row r="156" spans="1:11" x14ac:dyDescent="0.35">
      <c r="A156" t="s">
        <v>379</v>
      </c>
      <c r="B156" t="s">
        <v>110</v>
      </c>
      <c r="C156" t="s">
        <v>185</v>
      </c>
      <c r="D156" s="1">
        <v>44929</v>
      </c>
      <c r="E156" s="2">
        <v>0.39583333333333331</v>
      </c>
      <c r="F156" t="s">
        <v>222</v>
      </c>
      <c r="G156" t="s">
        <v>223</v>
      </c>
      <c r="H156" t="str">
        <f>TEXT(tblAppointments[[#This Row],[appointment_date]], "MMMM")</f>
        <v>January</v>
      </c>
      <c r="I156">
        <f>YEAR(tblAppointments[[#This Row],[appointment_date]])</f>
        <v>2023</v>
      </c>
      <c r="J156" s="4" t="str">
        <f>VLOOKUP(tblAppointments[[#This Row],[patient_id]],tblPatients[[patient_id]:[Age_Group]],12,FALSE)</f>
        <v>Robert Wilson</v>
      </c>
      <c r="K156" s="4" t="str">
        <f>VLOOKUP(tblAppointments[[#This Row],[doctor_id]],tblDoctors[[doctor_id]:[Full_name]],9,FALSE)</f>
        <v>David Taylor</v>
      </c>
    </row>
    <row r="157" spans="1:11" x14ac:dyDescent="0.35">
      <c r="A157" t="s">
        <v>380</v>
      </c>
      <c r="B157" t="s">
        <v>96</v>
      </c>
      <c r="C157" t="s">
        <v>205</v>
      </c>
      <c r="D157" s="1">
        <v>45252</v>
      </c>
      <c r="E157" s="2">
        <v>0.60416666666666663</v>
      </c>
      <c r="F157" t="s">
        <v>217</v>
      </c>
      <c r="G157" t="s">
        <v>234</v>
      </c>
      <c r="H157" t="str">
        <f>TEXT(tblAppointments[[#This Row],[appointment_date]], "MMMM")</f>
        <v>November</v>
      </c>
      <c r="I157">
        <f>YEAR(tblAppointments[[#This Row],[appointment_date]])</f>
        <v>2023</v>
      </c>
      <c r="J157" s="4" t="str">
        <f>VLOOKUP(tblAppointments[[#This Row],[patient_id]],tblPatients[[patient_id]:[Age_Group]],12,FALSE)</f>
        <v>Michael Wilson</v>
      </c>
      <c r="K157" s="4" t="str">
        <f>VLOOKUP(tblAppointments[[#This Row],[doctor_id]],tblDoctors[[doctor_id]:[Full_name]],9,FALSE)</f>
        <v>Linda Brown</v>
      </c>
    </row>
    <row r="158" spans="1:11" x14ac:dyDescent="0.35">
      <c r="A158" t="s">
        <v>381</v>
      </c>
      <c r="B158" t="s">
        <v>141</v>
      </c>
      <c r="C158" t="s">
        <v>202</v>
      </c>
      <c r="D158" s="1">
        <v>45058</v>
      </c>
      <c r="E158" s="2">
        <v>0.45833333333333331</v>
      </c>
      <c r="F158" t="s">
        <v>232</v>
      </c>
      <c r="G158" t="s">
        <v>234</v>
      </c>
      <c r="H158" t="str">
        <f>TEXT(tblAppointments[[#This Row],[appointment_date]], "MMMM")</f>
        <v>May</v>
      </c>
      <c r="I158">
        <f>YEAR(tblAppointments[[#This Row],[appointment_date]])</f>
        <v>2023</v>
      </c>
      <c r="J158" s="4" t="str">
        <f>VLOOKUP(tblAppointments[[#This Row],[patient_id]],tblPatients[[patient_id]:[Age_Group]],12,FALSE)</f>
        <v>Michael Wilson</v>
      </c>
      <c r="K158" s="4" t="str">
        <f>VLOOKUP(tblAppointments[[#This Row],[doctor_id]],tblDoctors[[doctor_id]:[Full_name]],9,FALSE)</f>
        <v>Robert Davis</v>
      </c>
    </row>
    <row r="159" spans="1:11" x14ac:dyDescent="0.35">
      <c r="A159" t="s">
        <v>382</v>
      </c>
      <c r="B159" t="s">
        <v>104</v>
      </c>
      <c r="C159" t="s">
        <v>209</v>
      </c>
      <c r="D159" s="1">
        <v>45119</v>
      </c>
      <c r="E159" s="2">
        <v>0.51041666666666663</v>
      </c>
      <c r="F159" t="s">
        <v>228</v>
      </c>
      <c r="G159" t="s">
        <v>234</v>
      </c>
      <c r="H159" t="str">
        <f>TEXT(tblAppointments[[#This Row],[appointment_date]], "MMMM")</f>
        <v>July</v>
      </c>
      <c r="I159">
        <f>YEAR(tblAppointments[[#This Row],[appointment_date]])</f>
        <v>2023</v>
      </c>
      <c r="J159" s="4" t="str">
        <f>VLOOKUP(tblAppointments[[#This Row],[patient_id]],tblPatients[[patient_id]:[Age_Group]],12,FALSE)</f>
        <v>Linda Johnson</v>
      </c>
      <c r="K159" s="4" t="str">
        <f>VLOOKUP(tblAppointments[[#This Row],[doctor_id]],tblDoctors[[doctor_id]:[Full_name]],9,FALSE)</f>
        <v>Linda Wilson</v>
      </c>
    </row>
    <row r="160" spans="1:11" x14ac:dyDescent="0.35">
      <c r="A160" t="s">
        <v>383</v>
      </c>
      <c r="B160" t="s">
        <v>79</v>
      </c>
      <c r="C160" t="s">
        <v>193</v>
      </c>
      <c r="D160" s="1">
        <v>45024</v>
      </c>
      <c r="E160" s="2">
        <v>0.67708333333333337</v>
      </c>
      <c r="F160" t="s">
        <v>226</v>
      </c>
      <c r="G160" t="s">
        <v>220</v>
      </c>
      <c r="H160" t="str">
        <f>TEXT(tblAppointments[[#This Row],[appointment_date]], "MMMM")</f>
        <v>April</v>
      </c>
      <c r="I160">
        <f>YEAR(tblAppointments[[#This Row],[appointment_date]])</f>
        <v>2023</v>
      </c>
      <c r="J160" s="4" t="str">
        <f>VLOOKUP(tblAppointments[[#This Row],[patient_id]],tblPatients[[patient_id]:[Age_Group]],12,FALSE)</f>
        <v>Michael Taylor</v>
      </c>
      <c r="K160" s="4" t="str">
        <f>VLOOKUP(tblAppointments[[#This Row],[doctor_id]],tblDoctors[[doctor_id]:[Full_name]],9,FALSE)</f>
        <v>Jane Smith</v>
      </c>
    </row>
    <row r="161" spans="1:11" x14ac:dyDescent="0.35">
      <c r="A161" t="s">
        <v>384</v>
      </c>
      <c r="B161" t="s">
        <v>148</v>
      </c>
      <c r="C161" t="s">
        <v>185</v>
      </c>
      <c r="D161" s="1">
        <v>45277</v>
      </c>
      <c r="E161" s="2">
        <v>0.53125</v>
      </c>
      <c r="F161" t="s">
        <v>226</v>
      </c>
      <c r="G161" t="s">
        <v>223</v>
      </c>
      <c r="H161" t="str">
        <f>TEXT(tblAppointments[[#This Row],[appointment_date]], "MMMM")</f>
        <v>December</v>
      </c>
      <c r="I161">
        <f>YEAR(tblAppointments[[#This Row],[appointment_date]])</f>
        <v>2023</v>
      </c>
      <c r="J161" s="4" t="str">
        <f>VLOOKUP(tblAppointments[[#This Row],[patient_id]],tblPatients[[patient_id]:[Age_Group]],12,FALSE)</f>
        <v>Jane Wilson</v>
      </c>
      <c r="K161" s="4" t="str">
        <f>VLOOKUP(tblAppointments[[#This Row],[doctor_id]],tblDoctors[[doctor_id]:[Full_name]],9,FALSE)</f>
        <v>David Taylor</v>
      </c>
    </row>
    <row r="162" spans="1:11" x14ac:dyDescent="0.35">
      <c r="A162" t="s">
        <v>385</v>
      </c>
      <c r="B162" t="s">
        <v>165</v>
      </c>
      <c r="C162" t="s">
        <v>198</v>
      </c>
      <c r="D162" s="1">
        <v>45094</v>
      </c>
      <c r="E162" s="2">
        <v>0.44791666666666669</v>
      </c>
      <c r="F162" t="s">
        <v>222</v>
      </c>
      <c r="G162" t="s">
        <v>218</v>
      </c>
      <c r="H162" t="str">
        <f>TEXT(tblAppointments[[#This Row],[appointment_date]], "MMMM")</f>
        <v>June</v>
      </c>
      <c r="I162">
        <f>YEAR(tblAppointments[[#This Row],[appointment_date]])</f>
        <v>2023</v>
      </c>
      <c r="J162" s="4" t="str">
        <f>VLOOKUP(tblAppointments[[#This Row],[patient_id]],tblPatients[[patient_id]:[Age_Group]],12,FALSE)</f>
        <v>Linda Miller</v>
      </c>
      <c r="K162" s="4" t="str">
        <f>VLOOKUP(tblAppointments[[#This Row],[doctor_id]],tblDoctors[[doctor_id]:[Full_name]],9,FALSE)</f>
        <v>Sarah Taylor</v>
      </c>
    </row>
    <row r="163" spans="1:11" x14ac:dyDescent="0.35">
      <c r="A163" t="s">
        <v>386</v>
      </c>
      <c r="B163" t="s">
        <v>156</v>
      </c>
      <c r="C163" t="s">
        <v>195</v>
      </c>
      <c r="D163" s="1">
        <v>44927</v>
      </c>
      <c r="E163" s="2">
        <v>0.71875</v>
      </c>
      <c r="F163" t="s">
        <v>226</v>
      </c>
      <c r="G163" t="s">
        <v>220</v>
      </c>
      <c r="H163" t="str">
        <f>TEXT(tblAppointments[[#This Row],[appointment_date]], "MMMM")</f>
        <v>January</v>
      </c>
      <c r="I163">
        <f>YEAR(tblAppointments[[#This Row],[appointment_date]])</f>
        <v>2023</v>
      </c>
      <c r="J163" s="4" t="str">
        <f>VLOOKUP(tblAppointments[[#This Row],[patient_id]],tblPatients[[patient_id]:[Age_Group]],12,FALSE)</f>
        <v>Jane Smith</v>
      </c>
      <c r="K163" s="4" t="str">
        <f>VLOOKUP(tblAppointments[[#This Row],[doctor_id]],tblDoctors[[doctor_id]:[Full_name]],9,FALSE)</f>
        <v>David Jones</v>
      </c>
    </row>
    <row r="164" spans="1:11" x14ac:dyDescent="0.35">
      <c r="A164" t="s">
        <v>387</v>
      </c>
      <c r="B164" t="s">
        <v>148</v>
      </c>
      <c r="C164" t="s">
        <v>209</v>
      </c>
      <c r="D164" s="1">
        <v>45104</v>
      </c>
      <c r="E164" s="2">
        <v>0.625</v>
      </c>
      <c r="F164" t="s">
        <v>217</v>
      </c>
      <c r="G164" t="s">
        <v>220</v>
      </c>
      <c r="H164" t="str">
        <f>TEXT(tblAppointments[[#This Row],[appointment_date]], "MMMM")</f>
        <v>June</v>
      </c>
      <c r="I164">
        <f>YEAR(tblAppointments[[#This Row],[appointment_date]])</f>
        <v>2023</v>
      </c>
      <c r="J164" s="4" t="str">
        <f>VLOOKUP(tblAppointments[[#This Row],[patient_id]],tblPatients[[patient_id]:[Age_Group]],12,FALSE)</f>
        <v>Jane Wilson</v>
      </c>
      <c r="K164" s="4" t="str">
        <f>VLOOKUP(tblAppointments[[#This Row],[doctor_id]],tblDoctors[[doctor_id]:[Full_name]],9,FALSE)</f>
        <v>Linda Wilson</v>
      </c>
    </row>
    <row r="165" spans="1:11" x14ac:dyDescent="0.35">
      <c r="A165" t="s">
        <v>388</v>
      </c>
      <c r="B165" t="s">
        <v>72</v>
      </c>
      <c r="C165" t="s">
        <v>205</v>
      </c>
      <c r="D165" s="1">
        <v>45135</v>
      </c>
      <c r="E165" s="2">
        <v>0.71875</v>
      </c>
      <c r="F165" t="s">
        <v>217</v>
      </c>
      <c r="G165" t="s">
        <v>223</v>
      </c>
      <c r="H165" t="str">
        <f>TEXT(tblAppointments[[#This Row],[appointment_date]], "MMMM")</f>
        <v>July</v>
      </c>
      <c r="I165">
        <f>YEAR(tblAppointments[[#This Row],[appointment_date]])</f>
        <v>2023</v>
      </c>
      <c r="J165" s="4" t="str">
        <f>VLOOKUP(tblAppointments[[#This Row],[patient_id]],tblPatients[[patient_id]:[Age_Group]],12,FALSE)</f>
        <v>Alex Taylor</v>
      </c>
      <c r="K165" s="4" t="str">
        <f>VLOOKUP(tblAppointments[[#This Row],[doctor_id]],tblDoctors[[doctor_id]:[Full_name]],9,FALSE)</f>
        <v>Linda Brown</v>
      </c>
    </row>
    <row r="166" spans="1:11" x14ac:dyDescent="0.35">
      <c r="A166" t="s">
        <v>389</v>
      </c>
      <c r="B166" t="s">
        <v>129</v>
      </c>
      <c r="C166" t="s">
        <v>185</v>
      </c>
      <c r="D166" s="1">
        <v>45020</v>
      </c>
      <c r="E166" s="2">
        <v>0.64583333333333337</v>
      </c>
      <c r="F166" t="s">
        <v>222</v>
      </c>
      <c r="G166" t="s">
        <v>223</v>
      </c>
      <c r="H166" t="str">
        <f>TEXT(tblAppointments[[#This Row],[appointment_date]], "MMMM")</f>
        <v>April</v>
      </c>
      <c r="I166">
        <f>YEAR(tblAppointments[[#This Row],[appointment_date]])</f>
        <v>2023</v>
      </c>
      <c r="J166" s="4" t="str">
        <f>VLOOKUP(tblAppointments[[#This Row],[patient_id]],tblPatients[[patient_id]:[Age_Group]],12,FALSE)</f>
        <v>Robert Miller</v>
      </c>
      <c r="K166" s="4" t="str">
        <f>VLOOKUP(tblAppointments[[#This Row],[doctor_id]],tblDoctors[[doctor_id]:[Full_name]],9,FALSE)</f>
        <v>David Taylor</v>
      </c>
    </row>
    <row r="167" spans="1:11" x14ac:dyDescent="0.35">
      <c r="A167" t="s">
        <v>390</v>
      </c>
      <c r="B167" t="s">
        <v>39</v>
      </c>
      <c r="C167" t="s">
        <v>209</v>
      </c>
      <c r="D167" s="1">
        <v>44938</v>
      </c>
      <c r="E167" s="2">
        <v>0.61458333333333337</v>
      </c>
      <c r="F167" t="s">
        <v>217</v>
      </c>
      <c r="G167" t="s">
        <v>220</v>
      </c>
      <c r="H167" t="str">
        <f>TEXT(tblAppointments[[#This Row],[appointment_date]], "MMMM")</f>
        <v>January</v>
      </c>
      <c r="I167">
        <f>YEAR(tblAppointments[[#This Row],[appointment_date]])</f>
        <v>2023</v>
      </c>
      <c r="J167" s="4" t="str">
        <f>VLOOKUP(tblAppointments[[#This Row],[patient_id]],tblPatients[[patient_id]:[Age_Group]],12,FALSE)</f>
        <v>David Wilson</v>
      </c>
      <c r="K167" s="4" t="str">
        <f>VLOOKUP(tblAppointments[[#This Row],[doctor_id]],tblDoctors[[doctor_id]:[Full_name]],9,FALSE)</f>
        <v>Linda Wilson</v>
      </c>
    </row>
    <row r="168" spans="1:11" x14ac:dyDescent="0.35">
      <c r="A168" t="s">
        <v>391</v>
      </c>
      <c r="B168" t="s">
        <v>139</v>
      </c>
      <c r="C168" t="s">
        <v>185</v>
      </c>
      <c r="D168" s="1">
        <v>45245</v>
      </c>
      <c r="E168" s="2">
        <v>0.34375</v>
      </c>
      <c r="F168" t="s">
        <v>232</v>
      </c>
      <c r="G168" t="s">
        <v>218</v>
      </c>
      <c r="H168" t="str">
        <f>TEXT(tblAppointments[[#This Row],[appointment_date]], "MMMM")</f>
        <v>November</v>
      </c>
      <c r="I168">
        <f>YEAR(tblAppointments[[#This Row],[appointment_date]])</f>
        <v>2023</v>
      </c>
      <c r="J168" s="4" t="str">
        <f>VLOOKUP(tblAppointments[[#This Row],[patient_id]],tblPatients[[patient_id]:[Age_Group]],12,FALSE)</f>
        <v>David Wilson</v>
      </c>
      <c r="K168" s="4" t="str">
        <f>VLOOKUP(tblAppointments[[#This Row],[doctor_id]],tblDoctors[[doctor_id]:[Full_name]],9,FALSE)</f>
        <v>David Taylor</v>
      </c>
    </row>
    <row r="169" spans="1:11" x14ac:dyDescent="0.35">
      <c r="A169" t="s">
        <v>392</v>
      </c>
      <c r="B169" t="s">
        <v>104</v>
      </c>
      <c r="C169" t="s">
        <v>195</v>
      </c>
      <c r="D169" s="1">
        <v>45198</v>
      </c>
      <c r="E169" s="2">
        <v>0.41666666666666669</v>
      </c>
      <c r="F169" t="s">
        <v>222</v>
      </c>
      <c r="G169" t="s">
        <v>220</v>
      </c>
      <c r="H169" t="str">
        <f>TEXT(tblAppointments[[#This Row],[appointment_date]], "MMMM")</f>
        <v>September</v>
      </c>
      <c r="I169">
        <f>YEAR(tblAppointments[[#This Row],[appointment_date]])</f>
        <v>2023</v>
      </c>
      <c r="J169" s="4" t="str">
        <f>VLOOKUP(tblAppointments[[#This Row],[patient_id]],tblPatients[[patient_id]:[Age_Group]],12,FALSE)</f>
        <v>Linda Johnson</v>
      </c>
      <c r="K169" s="4" t="str">
        <f>VLOOKUP(tblAppointments[[#This Row],[doctor_id]],tblDoctors[[doctor_id]:[Full_name]],9,FALSE)</f>
        <v>David Jones</v>
      </c>
    </row>
    <row r="170" spans="1:11" x14ac:dyDescent="0.35">
      <c r="A170" t="s">
        <v>393</v>
      </c>
      <c r="B170" t="s">
        <v>123</v>
      </c>
      <c r="C170" t="s">
        <v>205</v>
      </c>
      <c r="D170" s="1">
        <v>45131</v>
      </c>
      <c r="E170" s="2">
        <v>0.69791666666666663</v>
      </c>
      <c r="F170" t="s">
        <v>232</v>
      </c>
      <c r="G170" t="s">
        <v>223</v>
      </c>
      <c r="H170" t="str">
        <f>TEXT(tblAppointments[[#This Row],[appointment_date]], "MMMM")</f>
        <v>July</v>
      </c>
      <c r="I170">
        <f>YEAR(tblAppointments[[#This Row],[appointment_date]])</f>
        <v>2023</v>
      </c>
      <c r="J170" s="4" t="str">
        <f>VLOOKUP(tblAppointments[[#This Row],[patient_id]],tblPatients[[patient_id]:[Age_Group]],12,FALSE)</f>
        <v>David Smith</v>
      </c>
      <c r="K170" s="4" t="str">
        <f>VLOOKUP(tblAppointments[[#This Row],[doctor_id]],tblDoctors[[doctor_id]:[Full_name]],9,FALSE)</f>
        <v>Linda Brown</v>
      </c>
    </row>
    <row r="171" spans="1:11" x14ac:dyDescent="0.35">
      <c r="A171" t="s">
        <v>394</v>
      </c>
      <c r="B171" t="s">
        <v>159</v>
      </c>
      <c r="C171" t="s">
        <v>198</v>
      </c>
      <c r="D171" s="1">
        <v>44988</v>
      </c>
      <c r="E171" s="2">
        <v>0.375</v>
      </c>
      <c r="F171" t="s">
        <v>228</v>
      </c>
      <c r="G171" t="s">
        <v>218</v>
      </c>
      <c r="H171" t="str">
        <f>TEXT(tblAppointments[[#This Row],[appointment_date]], "MMMM")</f>
        <v>March</v>
      </c>
      <c r="I171">
        <f>YEAR(tblAppointments[[#This Row],[appointment_date]])</f>
        <v>2023</v>
      </c>
      <c r="J171" s="4" t="str">
        <f>VLOOKUP(tblAppointments[[#This Row],[patient_id]],tblPatients[[patient_id]:[Age_Group]],12,FALSE)</f>
        <v>Linda Brown</v>
      </c>
      <c r="K171" s="4" t="str">
        <f>VLOOKUP(tblAppointments[[#This Row],[doctor_id]],tblDoctors[[doctor_id]:[Full_name]],9,FALSE)</f>
        <v>Sarah Taylor</v>
      </c>
    </row>
    <row r="172" spans="1:11" x14ac:dyDescent="0.35">
      <c r="A172" t="s">
        <v>395</v>
      </c>
      <c r="B172" t="s">
        <v>64</v>
      </c>
      <c r="C172" t="s">
        <v>189</v>
      </c>
      <c r="D172" s="1">
        <v>45034</v>
      </c>
      <c r="E172" s="2">
        <v>0.6875</v>
      </c>
      <c r="F172" t="s">
        <v>232</v>
      </c>
      <c r="G172" t="s">
        <v>223</v>
      </c>
      <c r="H172" t="str">
        <f>TEXT(tblAppointments[[#This Row],[appointment_date]], "MMMM")</f>
        <v>April</v>
      </c>
      <c r="I172">
        <f>YEAR(tblAppointments[[#This Row],[appointment_date]])</f>
        <v>2023</v>
      </c>
      <c r="J172" s="4" t="str">
        <f>VLOOKUP(tblAppointments[[#This Row],[patient_id]],tblPatients[[patient_id]:[Age_Group]],12,FALSE)</f>
        <v>Emily Jones</v>
      </c>
      <c r="K172" s="4" t="str">
        <f>VLOOKUP(tblAppointments[[#This Row],[doctor_id]],tblDoctors[[doctor_id]:[Full_name]],9,FALSE)</f>
        <v>Jane Davis</v>
      </c>
    </row>
    <row r="173" spans="1:11" x14ac:dyDescent="0.35">
      <c r="A173" t="s">
        <v>396</v>
      </c>
      <c r="B173" t="s">
        <v>85</v>
      </c>
      <c r="C173" t="s">
        <v>200</v>
      </c>
      <c r="D173" s="1">
        <v>44994</v>
      </c>
      <c r="E173" s="2">
        <v>0.67708333333333337</v>
      </c>
      <c r="F173" t="s">
        <v>228</v>
      </c>
      <c r="G173" t="s">
        <v>218</v>
      </c>
      <c r="H173" t="str">
        <f>TEXT(tblAppointments[[#This Row],[appointment_date]], "MMMM")</f>
        <v>March</v>
      </c>
      <c r="I173">
        <f>YEAR(tblAppointments[[#This Row],[appointment_date]])</f>
        <v>2023</v>
      </c>
      <c r="J173" s="4" t="str">
        <f>VLOOKUP(tblAppointments[[#This Row],[patient_id]],tblPatients[[patient_id]:[Age_Group]],12,FALSE)</f>
        <v>Laura Wilson</v>
      </c>
      <c r="K173" s="4" t="str">
        <f>VLOOKUP(tblAppointments[[#This Row],[doctor_id]],tblDoctors[[doctor_id]:[Full_name]],9,FALSE)</f>
        <v>Alex Davis</v>
      </c>
    </row>
    <row r="174" spans="1:11" x14ac:dyDescent="0.35">
      <c r="A174" t="s">
        <v>397</v>
      </c>
      <c r="B174" t="s">
        <v>170</v>
      </c>
      <c r="C174" t="s">
        <v>198</v>
      </c>
      <c r="D174" s="1">
        <v>45081</v>
      </c>
      <c r="E174" s="2">
        <v>0.5625</v>
      </c>
      <c r="F174" t="s">
        <v>228</v>
      </c>
      <c r="G174" t="s">
        <v>234</v>
      </c>
      <c r="H174" t="str">
        <f>TEXT(tblAppointments[[#This Row],[appointment_date]], "MMMM")</f>
        <v>June</v>
      </c>
      <c r="I174">
        <f>YEAR(tblAppointments[[#This Row],[appointment_date]])</f>
        <v>2023</v>
      </c>
      <c r="J174" s="4" t="str">
        <f>VLOOKUP(tblAppointments[[#This Row],[patient_id]],tblPatients[[patient_id]:[Age_Group]],12,FALSE)</f>
        <v>Jane Moore</v>
      </c>
      <c r="K174" s="4" t="str">
        <f>VLOOKUP(tblAppointments[[#This Row],[doctor_id]],tblDoctors[[doctor_id]:[Full_name]],9,FALSE)</f>
        <v>Sarah Taylor</v>
      </c>
    </row>
    <row r="175" spans="1:11" x14ac:dyDescent="0.35">
      <c r="A175" t="s">
        <v>398</v>
      </c>
      <c r="B175" t="s">
        <v>67</v>
      </c>
      <c r="C175" t="s">
        <v>189</v>
      </c>
      <c r="D175" s="1">
        <v>45230</v>
      </c>
      <c r="E175" s="2">
        <v>0.46875</v>
      </c>
      <c r="F175" t="s">
        <v>232</v>
      </c>
      <c r="G175" t="s">
        <v>223</v>
      </c>
      <c r="H175" t="str">
        <f>TEXT(tblAppointments[[#This Row],[appointment_date]], "MMMM")</f>
        <v>October</v>
      </c>
      <c r="I175">
        <f>YEAR(tblAppointments[[#This Row],[appointment_date]])</f>
        <v>2023</v>
      </c>
      <c r="J175" s="4" t="str">
        <f>VLOOKUP(tblAppointments[[#This Row],[patient_id]],tblPatients[[patient_id]:[Age_Group]],12,FALSE)</f>
        <v>Laura Davis</v>
      </c>
      <c r="K175" s="4" t="str">
        <f>VLOOKUP(tblAppointments[[#This Row],[doctor_id]],tblDoctors[[doctor_id]:[Full_name]],9,FALSE)</f>
        <v>Jane Davis</v>
      </c>
    </row>
    <row r="176" spans="1:11" x14ac:dyDescent="0.35">
      <c r="A176" t="s">
        <v>399</v>
      </c>
      <c r="B176" t="s">
        <v>57</v>
      </c>
      <c r="C176" t="s">
        <v>193</v>
      </c>
      <c r="D176" s="1">
        <v>45221</v>
      </c>
      <c r="E176" s="2">
        <v>0.70833333333333337</v>
      </c>
      <c r="F176" t="s">
        <v>222</v>
      </c>
      <c r="G176" t="s">
        <v>223</v>
      </c>
      <c r="H176" t="str">
        <f>TEXT(tblAppointments[[#This Row],[appointment_date]], "MMMM")</f>
        <v>October</v>
      </c>
      <c r="I176">
        <f>YEAR(tblAppointments[[#This Row],[appointment_date]])</f>
        <v>2023</v>
      </c>
      <c r="J176" s="4" t="str">
        <f>VLOOKUP(tblAppointments[[#This Row],[patient_id]],tblPatients[[patient_id]:[Age_Group]],12,FALSE)</f>
        <v>Laura Davis</v>
      </c>
      <c r="K176" s="4" t="str">
        <f>VLOOKUP(tblAppointments[[#This Row],[doctor_id]],tblDoctors[[doctor_id]:[Full_name]],9,FALSE)</f>
        <v>Jane Smith</v>
      </c>
    </row>
    <row r="177" spans="1:11" x14ac:dyDescent="0.35">
      <c r="A177" t="s">
        <v>400</v>
      </c>
      <c r="B177" t="s">
        <v>60</v>
      </c>
      <c r="C177" t="s">
        <v>207</v>
      </c>
      <c r="D177" s="1">
        <v>45042</v>
      </c>
      <c r="E177" s="2">
        <v>0.39583333333333331</v>
      </c>
      <c r="F177" t="s">
        <v>217</v>
      </c>
      <c r="G177" t="s">
        <v>220</v>
      </c>
      <c r="H177" t="str">
        <f>TEXT(tblAppointments[[#This Row],[appointment_date]], "MMMM")</f>
        <v>April</v>
      </c>
      <c r="I177">
        <f>YEAR(tblAppointments[[#This Row],[appointment_date]])</f>
        <v>2023</v>
      </c>
      <c r="J177" s="4" t="str">
        <f>VLOOKUP(tblAppointments[[#This Row],[patient_id]],tblPatients[[patient_id]:[Age_Group]],12,FALSE)</f>
        <v>Michael Taylor</v>
      </c>
      <c r="K177" s="4" t="str">
        <f>VLOOKUP(tblAppointments[[#This Row],[doctor_id]],tblDoctors[[doctor_id]:[Full_name]],9,FALSE)</f>
        <v>Sarah Smith</v>
      </c>
    </row>
    <row r="178" spans="1:11" x14ac:dyDescent="0.35">
      <c r="A178" t="s">
        <v>401</v>
      </c>
      <c r="B178" t="s">
        <v>162</v>
      </c>
      <c r="C178" t="s">
        <v>202</v>
      </c>
      <c r="D178" s="1">
        <v>45154</v>
      </c>
      <c r="E178" s="2">
        <v>0.52083333333333337</v>
      </c>
      <c r="F178" t="s">
        <v>217</v>
      </c>
      <c r="G178" t="s">
        <v>223</v>
      </c>
      <c r="H178" t="str">
        <f>TEXT(tblAppointments[[#This Row],[appointment_date]], "MMMM")</f>
        <v>August</v>
      </c>
      <c r="I178">
        <f>YEAR(tblAppointments[[#This Row],[appointment_date]])</f>
        <v>2023</v>
      </c>
      <c r="J178" s="4" t="str">
        <f>VLOOKUP(tblAppointments[[#This Row],[patient_id]],tblPatients[[patient_id]:[Age_Group]],12,FALSE)</f>
        <v>Robert Taylor</v>
      </c>
      <c r="K178" s="4" t="str">
        <f>VLOOKUP(tblAppointments[[#This Row],[doctor_id]],tblDoctors[[doctor_id]:[Full_name]],9,FALSE)</f>
        <v>Robert Davis</v>
      </c>
    </row>
    <row r="179" spans="1:11" x14ac:dyDescent="0.35">
      <c r="A179" t="s">
        <v>402</v>
      </c>
      <c r="B179" t="s">
        <v>81</v>
      </c>
      <c r="C179" t="s">
        <v>202</v>
      </c>
      <c r="D179" s="1">
        <v>44943</v>
      </c>
      <c r="E179" s="2">
        <v>0.55208333333333337</v>
      </c>
      <c r="F179" t="s">
        <v>228</v>
      </c>
      <c r="G179" t="s">
        <v>223</v>
      </c>
      <c r="H179" t="str">
        <f>TEXT(tblAppointments[[#This Row],[appointment_date]], "MMMM")</f>
        <v>January</v>
      </c>
      <c r="I179">
        <f>YEAR(tblAppointments[[#This Row],[appointment_date]])</f>
        <v>2023</v>
      </c>
      <c r="J179" s="4" t="str">
        <f>VLOOKUP(tblAppointments[[#This Row],[patient_id]],tblPatients[[patient_id]:[Age_Group]],12,FALSE)</f>
        <v>Jane Jones</v>
      </c>
      <c r="K179" s="4" t="str">
        <f>VLOOKUP(tblAppointments[[#This Row],[doctor_id]],tblDoctors[[doctor_id]:[Full_name]],9,FALSE)</f>
        <v>Robert Davis</v>
      </c>
    </row>
    <row r="180" spans="1:11" x14ac:dyDescent="0.35">
      <c r="A180" t="s">
        <v>403</v>
      </c>
      <c r="B180" t="s">
        <v>146</v>
      </c>
      <c r="C180" t="s">
        <v>200</v>
      </c>
      <c r="D180" s="1">
        <v>44993</v>
      </c>
      <c r="E180" s="2">
        <v>0.51041666666666663</v>
      </c>
      <c r="F180" t="s">
        <v>228</v>
      </c>
      <c r="G180" t="s">
        <v>234</v>
      </c>
      <c r="H180" t="str">
        <f>TEXT(tblAppointments[[#This Row],[appointment_date]], "MMMM")</f>
        <v>March</v>
      </c>
      <c r="I180">
        <f>YEAR(tblAppointments[[#This Row],[appointment_date]])</f>
        <v>2023</v>
      </c>
      <c r="J180" s="4" t="str">
        <f>VLOOKUP(tblAppointments[[#This Row],[patient_id]],tblPatients[[patient_id]:[Age_Group]],12,FALSE)</f>
        <v>David Smith</v>
      </c>
      <c r="K180" s="4" t="str">
        <f>VLOOKUP(tblAppointments[[#This Row],[doctor_id]],tblDoctors[[doctor_id]:[Full_name]],9,FALSE)</f>
        <v>Alex Davis</v>
      </c>
    </row>
    <row r="181" spans="1:11" x14ac:dyDescent="0.35">
      <c r="A181" t="s">
        <v>404</v>
      </c>
      <c r="B181" t="s">
        <v>48</v>
      </c>
      <c r="C181" t="s">
        <v>205</v>
      </c>
      <c r="D181" s="1">
        <v>44933</v>
      </c>
      <c r="E181" s="2">
        <v>0.45833333333333331</v>
      </c>
      <c r="F181" t="s">
        <v>222</v>
      </c>
      <c r="G181" t="s">
        <v>223</v>
      </c>
      <c r="H181" t="str">
        <f>TEXT(tblAppointments[[#This Row],[appointment_date]], "MMMM")</f>
        <v>January</v>
      </c>
      <c r="I181">
        <f>YEAR(tblAppointments[[#This Row],[appointment_date]])</f>
        <v>2023</v>
      </c>
      <c r="J181" s="4" t="str">
        <f>VLOOKUP(tblAppointments[[#This Row],[patient_id]],tblPatients[[patient_id]:[Age_Group]],12,FALSE)</f>
        <v>Alex Johnson</v>
      </c>
      <c r="K181" s="4" t="str">
        <f>VLOOKUP(tblAppointments[[#This Row],[doctor_id]],tblDoctors[[doctor_id]:[Full_name]],9,FALSE)</f>
        <v>Linda Brown</v>
      </c>
    </row>
    <row r="182" spans="1:11" x14ac:dyDescent="0.35">
      <c r="A182" t="s">
        <v>405</v>
      </c>
      <c r="B182" t="s">
        <v>168</v>
      </c>
      <c r="C182" t="s">
        <v>195</v>
      </c>
      <c r="D182" s="1">
        <v>45172</v>
      </c>
      <c r="E182" s="2">
        <v>0.55208333333333337</v>
      </c>
      <c r="F182" t="s">
        <v>226</v>
      </c>
      <c r="G182" t="s">
        <v>234</v>
      </c>
      <c r="H182" t="str">
        <f>TEXT(tblAppointments[[#This Row],[appointment_date]], "MMMM")</f>
        <v>September</v>
      </c>
      <c r="I182">
        <f>YEAR(tblAppointments[[#This Row],[appointment_date]])</f>
        <v>2023</v>
      </c>
      <c r="J182" s="4" t="str">
        <f>VLOOKUP(tblAppointments[[#This Row],[patient_id]],tblPatients[[patient_id]:[Age_Group]],12,FALSE)</f>
        <v>Michael Taylor</v>
      </c>
      <c r="K182" s="4" t="str">
        <f>VLOOKUP(tblAppointments[[#This Row],[doctor_id]],tblDoctors[[doctor_id]:[Full_name]],9,FALSE)</f>
        <v>David Jones</v>
      </c>
    </row>
    <row r="183" spans="1:11" x14ac:dyDescent="0.35">
      <c r="A183" t="s">
        <v>406</v>
      </c>
      <c r="B183" t="s">
        <v>69</v>
      </c>
      <c r="C183" t="s">
        <v>205</v>
      </c>
      <c r="D183" s="1">
        <v>45028</v>
      </c>
      <c r="E183" s="2">
        <v>0.33333333333333331</v>
      </c>
      <c r="F183" t="s">
        <v>232</v>
      </c>
      <c r="G183" t="s">
        <v>234</v>
      </c>
      <c r="H183" t="str">
        <f>TEXT(tblAppointments[[#This Row],[appointment_date]], "MMMM")</f>
        <v>April</v>
      </c>
      <c r="I183">
        <f>YEAR(tblAppointments[[#This Row],[appointment_date]])</f>
        <v>2023</v>
      </c>
      <c r="J183" s="4" t="str">
        <f>VLOOKUP(tblAppointments[[#This Row],[patient_id]],tblPatients[[patient_id]:[Age_Group]],12,FALSE)</f>
        <v>Laura Johnson</v>
      </c>
      <c r="K183" s="4" t="str">
        <f>VLOOKUP(tblAppointments[[#This Row],[doctor_id]],tblDoctors[[doctor_id]:[Full_name]],9,FALSE)</f>
        <v>Linda Brown</v>
      </c>
    </row>
    <row r="184" spans="1:11" x14ac:dyDescent="0.35">
      <c r="A184" t="s">
        <v>407</v>
      </c>
      <c r="B184" t="s">
        <v>151</v>
      </c>
      <c r="C184" t="s">
        <v>195</v>
      </c>
      <c r="D184" s="1">
        <v>44960</v>
      </c>
      <c r="E184" s="2">
        <v>0.67708333333333337</v>
      </c>
      <c r="F184" t="s">
        <v>228</v>
      </c>
      <c r="G184" t="s">
        <v>234</v>
      </c>
      <c r="H184" t="str">
        <f>TEXT(tblAppointments[[#This Row],[appointment_date]], "MMMM")</f>
        <v>February</v>
      </c>
      <c r="I184">
        <f>YEAR(tblAppointments[[#This Row],[appointment_date]])</f>
        <v>2023</v>
      </c>
      <c r="J184" s="4" t="str">
        <f>VLOOKUP(tblAppointments[[#This Row],[patient_id]],tblPatients[[patient_id]:[Age_Group]],12,FALSE)</f>
        <v>Emily Williams</v>
      </c>
      <c r="K184" s="4" t="str">
        <f>VLOOKUP(tblAppointments[[#This Row],[doctor_id]],tblDoctors[[doctor_id]:[Full_name]],9,FALSE)</f>
        <v>David Jones</v>
      </c>
    </row>
    <row r="185" spans="1:11" x14ac:dyDescent="0.35">
      <c r="A185" t="s">
        <v>408</v>
      </c>
      <c r="B185" t="s">
        <v>156</v>
      </c>
      <c r="C185" t="s">
        <v>205</v>
      </c>
      <c r="D185" s="1">
        <v>44983</v>
      </c>
      <c r="E185" s="2">
        <v>0.73958333333333337</v>
      </c>
      <c r="F185" t="s">
        <v>217</v>
      </c>
      <c r="G185" t="s">
        <v>234</v>
      </c>
      <c r="H185" t="str">
        <f>TEXT(tblAppointments[[#This Row],[appointment_date]], "MMMM")</f>
        <v>February</v>
      </c>
      <c r="I185">
        <f>YEAR(tblAppointments[[#This Row],[appointment_date]])</f>
        <v>2023</v>
      </c>
      <c r="J185" s="4" t="str">
        <f>VLOOKUP(tblAppointments[[#This Row],[patient_id]],tblPatients[[patient_id]:[Age_Group]],12,FALSE)</f>
        <v>Jane Smith</v>
      </c>
      <c r="K185" s="4" t="str">
        <f>VLOOKUP(tblAppointments[[#This Row],[doctor_id]],tblDoctors[[doctor_id]:[Full_name]],9,FALSE)</f>
        <v>Linda Brown</v>
      </c>
    </row>
    <row r="186" spans="1:11" x14ac:dyDescent="0.35">
      <c r="A186" t="s">
        <v>409</v>
      </c>
      <c r="B186" t="s">
        <v>57</v>
      </c>
      <c r="C186" t="s">
        <v>207</v>
      </c>
      <c r="D186" s="1">
        <v>45006</v>
      </c>
      <c r="E186" s="2">
        <v>0.58333333333333337</v>
      </c>
      <c r="F186" t="s">
        <v>222</v>
      </c>
      <c r="G186" t="s">
        <v>218</v>
      </c>
      <c r="H186" t="str">
        <f>TEXT(tblAppointments[[#This Row],[appointment_date]], "MMMM")</f>
        <v>March</v>
      </c>
      <c r="I186">
        <f>YEAR(tblAppointments[[#This Row],[appointment_date]])</f>
        <v>2023</v>
      </c>
      <c r="J186" s="4" t="str">
        <f>VLOOKUP(tblAppointments[[#This Row],[patient_id]],tblPatients[[patient_id]:[Age_Group]],12,FALSE)</f>
        <v>Laura Davis</v>
      </c>
      <c r="K186" s="4" t="str">
        <f>VLOOKUP(tblAppointments[[#This Row],[doctor_id]],tblDoctors[[doctor_id]:[Full_name]],9,FALSE)</f>
        <v>Sarah Smith</v>
      </c>
    </row>
    <row r="187" spans="1:11" x14ac:dyDescent="0.35">
      <c r="A187" t="s">
        <v>410</v>
      </c>
      <c r="B187" t="s">
        <v>178</v>
      </c>
      <c r="C187" t="s">
        <v>193</v>
      </c>
      <c r="D187" s="1">
        <v>45012</v>
      </c>
      <c r="E187" s="2">
        <v>0.71875</v>
      </c>
      <c r="F187" t="s">
        <v>232</v>
      </c>
      <c r="G187" t="s">
        <v>220</v>
      </c>
      <c r="H187" t="str">
        <f>TEXT(tblAppointments[[#This Row],[appointment_date]], "MMMM")</f>
        <v>March</v>
      </c>
      <c r="I187">
        <f>YEAR(tblAppointments[[#This Row],[appointment_date]])</f>
        <v>2023</v>
      </c>
      <c r="J187" s="4" t="str">
        <f>VLOOKUP(tblAppointments[[#This Row],[patient_id]],tblPatients[[patient_id]:[Age_Group]],12,FALSE)</f>
        <v>Laura Wilson</v>
      </c>
      <c r="K187" s="4" t="str">
        <f>VLOOKUP(tblAppointments[[#This Row],[doctor_id]],tblDoctors[[doctor_id]:[Full_name]],9,FALSE)</f>
        <v>Jane Smith</v>
      </c>
    </row>
    <row r="188" spans="1:11" x14ac:dyDescent="0.35">
      <c r="A188" t="s">
        <v>411</v>
      </c>
      <c r="B188" t="s">
        <v>117</v>
      </c>
      <c r="C188" t="s">
        <v>193</v>
      </c>
      <c r="D188" s="1">
        <v>44970</v>
      </c>
      <c r="E188" s="2">
        <v>0.52083333333333337</v>
      </c>
      <c r="F188" t="s">
        <v>222</v>
      </c>
      <c r="G188" t="s">
        <v>218</v>
      </c>
      <c r="H188" t="str">
        <f>TEXT(tblAppointments[[#This Row],[appointment_date]], "MMMM")</f>
        <v>February</v>
      </c>
      <c r="I188">
        <f>YEAR(tblAppointments[[#This Row],[appointment_date]])</f>
        <v>2023</v>
      </c>
      <c r="J188" s="4" t="str">
        <f>VLOOKUP(tblAppointments[[#This Row],[patient_id]],tblPatients[[patient_id]:[Age_Group]],12,FALSE)</f>
        <v>Linda Moore</v>
      </c>
      <c r="K188" s="4" t="str">
        <f>VLOOKUP(tblAppointments[[#This Row],[doctor_id]],tblDoctors[[doctor_id]:[Full_name]],9,FALSE)</f>
        <v>Jane Smith</v>
      </c>
    </row>
    <row r="189" spans="1:11" x14ac:dyDescent="0.35">
      <c r="A189" t="s">
        <v>412</v>
      </c>
      <c r="B189" t="s">
        <v>19</v>
      </c>
      <c r="C189" t="s">
        <v>189</v>
      </c>
      <c r="D189" s="1">
        <v>45028</v>
      </c>
      <c r="E189" s="2">
        <v>0.6875</v>
      </c>
      <c r="F189" t="s">
        <v>232</v>
      </c>
      <c r="G189" t="s">
        <v>223</v>
      </c>
      <c r="H189" t="str">
        <f>TEXT(tblAppointments[[#This Row],[appointment_date]], "MMMM")</f>
        <v>April</v>
      </c>
      <c r="I189">
        <f>YEAR(tblAppointments[[#This Row],[appointment_date]])</f>
        <v>2023</v>
      </c>
      <c r="J189" s="4" t="str">
        <f>VLOOKUP(tblAppointments[[#This Row],[patient_id]],tblPatients[[patient_id]:[Age_Group]],12,FALSE)</f>
        <v>Emily Smith</v>
      </c>
      <c r="K189" s="4" t="str">
        <f>VLOOKUP(tblAppointments[[#This Row],[doctor_id]],tblDoctors[[doctor_id]:[Full_name]],9,FALSE)</f>
        <v>Jane Davis</v>
      </c>
    </row>
    <row r="190" spans="1:11" x14ac:dyDescent="0.35">
      <c r="A190" t="s">
        <v>413</v>
      </c>
      <c r="B190" t="s">
        <v>39</v>
      </c>
      <c r="C190" t="s">
        <v>209</v>
      </c>
      <c r="D190" s="1">
        <v>45204</v>
      </c>
      <c r="E190" s="2">
        <v>0.5625</v>
      </c>
      <c r="F190" t="s">
        <v>232</v>
      </c>
      <c r="G190" t="s">
        <v>218</v>
      </c>
      <c r="H190" t="str">
        <f>TEXT(tblAppointments[[#This Row],[appointment_date]], "MMMM")</f>
        <v>October</v>
      </c>
      <c r="I190">
        <f>YEAR(tblAppointments[[#This Row],[appointment_date]])</f>
        <v>2023</v>
      </c>
      <c r="J190" s="4" t="str">
        <f>VLOOKUP(tblAppointments[[#This Row],[patient_id]],tblPatients[[patient_id]:[Age_Group]],12,FALSE)</f>
        <v>David Wilson</v>
      </c>
      <c r="K190" s="4" t="str">
        <f>VLOOKUP(tblAppointments[[#This Row],[doctor_id]],tblDoctors[[doctor_id]:[Full_name]],9,FALSE)</f>
        <v>Linda Wilson</v>
      </c>
    </row>
    <row r="191" spans="1:11" x14ac:dyDescent="0.35">
      <c r="A191" t="s">
        <v>414</v>
      </c>
      <c r="B191" t="s">
        <v>123</v>
      </c>
      <c r="C191" t="s">
        <v>193</v>
      </c>
      <c r="D191" s="1">
        <v>45246</v>
      </c>
      <c r="E191" s="2">
        <v>0.63541666666666663</v>
      </c>
      <c r="F191" t="s">
        <v>228</v>
      </c>
      <c r="G191" t="s">
        <v>218</v>
      </c>
      <c r="H191" t="str">
        <f>TEXT(tblAppointments[[#This Row],[appointment_date]], "MMMM")</f>
        <v>November</v>
      </c>
      <c r="I191">
        <f>YEAR(tblAppointments[[#This Row],[appointment_date]])</f>
        <v>2023</v>
      </c>
      <c r="J191" s="4" t="str">
        <f>VLOOKUP(tblAppointments[[#This Row],[patient_id]],tblPatients[[patient_id]:[Age_Group]],12,FALSE)</f>
        <v>David Smith</v>
      </c>
      <c r="K191" s="4" t="str">
        <f>VLOOKUP(tblAppointments[[#This Row],[doctor_id]],tblDoctors[[doctor_id]:[Full_name]],9,FALSE)</f>
        <v>Jane Smith</v>
      </c>
    </row>
    <row r="192" spans="1:11" x14ac:dyDescent="0.35">
      <c r="A192" t="s">
        <v>415</v>
      </c>
      <c r="B192" t="s">
        <v>143</v>
      </c>
      <c r="C192" t="s">
        <v>193</v>
      </c>
      <c r="D192" s="1">
        <v>45028</v>
      </c>
      <c r="E192" s="2">
        <v>0.66666666666666663</v>
      </c>
      <c r="F192" t="s">
        <v>222</v>
      </c>
      <c r="G192" t="s">
        <v>223</v>
      </c>
      <c r="H192" t="str">
        <f>TEXT(tblAppointments[[#This Row],[appointment_date]], "MMMM")</f>
        <v>April</v>
      </c>
      <c r="I192">
        <f>YEAR(tblAppointments[[#This Row],[appointment_date]])</f>
        <v>2023</v>
      </c>
      <c r="J192" s="4" t="str">
        <f>VLOOKUP(tblAppointments[[#This Row],[patient_id]],tblPatients[[patient_id]:[Age_Group]],12,FALSE)</f>
        <v>Robert Williams</v>
      </c>
      <c r="K192" s="4" t="str">
        <f>VLOOKUP(tblAppointments[[#This Row],[doctor_id]],tblDoctors[[doctor_id]:[Full_name]],9,FALSE)</f>
        <v>Jane Smith</v>
      </c>
    </row>
    <row r="193" spans="1:11" x14ac:dyDescent="0.35">
      <c r="A193" t="s">
        <v>416</v>
      </c>
      <c r="B193" t="s">
        <v>146</v>
      </c>
      <c r="C193" t="s">
        <v>198</v>
      </c>
      <c r="D193" s="1">
        <v>45169</v>
      </c>
      <c r="E193" s="2">
        <v>0.59375</v>
      </c>
      <c r="F193" t="s">
        <v>222</v>
      </c>
      <c r="G193" t="s">
        <v>223</v>
      </c>
      <c r="H193" t="str">
        <f>TEXT(tblAppointments[[#This Row],[appointment_date]], "MMMM")</f>
        <v>August</v>
      </c>
      <c r="I193">
        <f>YEAR(tblAppointments[[#This Row],[appointment_date]])</f>
        <v>2023</v>
      </c>
      <c r="J193" s="4" t="str">
        <f>VLOOKUP(tblAppointments[[#This Row],[patient_id]],tblPatients[[patient_id]:[Age_Group]],12,FALSE)</f>
        <v>David Smith</v>
      </c>
      <c r="K193" s="4" t="str">
        <f>VLOOKUP(tblAppointments[[#This Row],[doctor_id]],tblDoctors[[doctor_id]:[Full_name]],9,FALSE)</f>
        <v>Sarah Taylor</v>
      </c>
    </row>
    <row r="194" spans="1:11" x14ac:dyDescent="0.35">
      <c r="A194" t="s">
        <v>417</v>
      </c>
      <c r="B194" t="s">
        <v>88</v>
      </c>
      <c r="C194" t="s">
        <v>198</v>
      </c>
      <c r="D194" s="1">
        <v>45184</v>
      </c>
      <c r="E194" s="2">
        <v>0.34375</v>
      </c>
      <c r="F194" t="s">
        <v>217</v>
      </c>
      <c r="G194" t="s">
        <v>223</v>
      </c>
      <c r="H194" t="str">
        <f>TEXT(tblAppointments[[#This Row],[appointment_date]], "MMMM")</f>
        <v>September</v>
      </c>
      <c r="I194">
        <f>YEAR(tblAppointments[[#This Row],[appointment_date]])</f>
        <v>2023</v>
      </c>
      <c r="J194" s="4" t="str">
        <f>VLOOKUP(tblAppointments[[#This Row],[patient_id]],tblPatients[[patient_id]:[Age_Group]],12,FALSE)</f>
        <v>Sarah Miller</v>
      </c>
      <c r="K194" s="4" t="str">
        <f>VLOOKUP(tblAppointments[[#This Row],[doctor_id]],tblDoctors[[doctor_id]:[Full_name]],9,FALSE)</f>
        <v>Sarah Taylor</v>
      </c>
    </row>
    <row r="195" spans="1:11" x14ac:dyDescent="0.35">
      <c r="A195" t="s">
        <v>418</v>
      </c>
      <c r="B195" t="s">
        <v>52</v>
      </c>
      <c r="C195" t="s">
        <v>189</v>
      </c>
      <c r="D195" s="1">
        <v>45022</v>
      </c>
      <c r="E195" s="2">
        <v>0.53125</v>
      </c>
      <c r="F195" t="s">
        <v>217</v>
      </c>
      <c r="G195" t="s">
        <v>218</v>
      </c>
      <c r="H195" t="str">
        <f>TEXT(tblAppointments[[#This Row],[appointment_date]], "MMMM")</f>
        <v>April</v>
      </c>
      <c r="I195">
        <f>YEAR(tblAppointments[[#This Row],[appointment_date]])</f>
        <v>2023</v>
      </c>
      <c r="J195" s="4" t="str">
        <f>VLOOKUP(tblAppointments[[#This Row],[patient_id]],tblPatients[[patient_id]:[Age_Group]],12,FALSE)</f>
        <v>David Davis</v>
      </c>
      <c r="K195" s="4" t="str">
        <f>VLOOKUP(tblAppointments[[#This Row],[doctor_id]],tblDoctors[[doctor_id]:[Full_name]],9,FALSE)</f>
        <v>Jane Davis</v>
      </c>
    </row>
    <row r="196" spans="1:11" x14ac:dyDescent="0.35">
      <c r="A196" t="s">
        <v>419</v>
      </c>
      <c r="B196" t="s">
        <v>172</v>
      </c>
      <c r="C196" t="s">
        <v>209</v>
      </c>
      <c r="D196" s="1">
        <v>45157</v>
      </c>
      <c r="E196" s="2">
        <v>0.71875</v>
      </c>
      <c r="F196" t="s">
        <v>228</v>
      </c>
      <c r="G196" t="s">
        <v>218</v>
      </c>
      <c r="H196" t="str">
        <f>TEXT(tblAppointments[[#This Row],[appointment_date]], "MMMM")</f>
        <v>August</v>
      </c>
      <c r="I196">
        <f>YEAR(tblAppointments[[#This Row],[appointment_date]])</f>
        <v>2023</v>
      </c>
      <c r="J196" s="4" t="str">
        <f>VLOOKUP(tblAppointments[[#This Row],[patient_id]],tblPatients[[patient_id]:[Age_Group]],12,FALSE)</f>
        <v>Emily Miller</v>
      </c>
      <c r="K196" s="4" t="str">
        <f>VLOOKUP(tblAppointments[[#This Row],[doctor_id]],tblDoctors[[doctor_id]:[Full_name]],9,FALSE)</f>
        <v>Linda Wilson</v>
      </c>
    </row>
    <row r="197" spans="1:11" x14ac:dyDescent="0.35">
      <c r="A197" t="s">
        <v>420</v>
      </c>
      <c r="B197" t="s">
        <v>165</v>
      </c>
      <c r="C197" t="s">
        <v>200</v>
      </c>
      <c r="D197" s="1">
        <v>45225</v>
      </c>
      <c r="E197" s="2">
        <v>0.40625</v>
      </c>
      <c r="F197" t="s">
        <v>228</v>
      </c>
      <c r="G197" t="s">
        <v>223</v>
      </c>
      <c r="H197" t="str">
        <f>TEXT(tblAppointments[[#This Row],[appointment_date]], "MMMM")</f>
        <v>October</v>
      </c>
      <c r="I197">
        <f>YEAR(tblAppointments[[#This Row],[appointment_date]])</f>
        <v>2023</v>
      </c>
      <c r="J197" s="4" t="str">
        <f>VLOOKUP(tblAppointments[[#This Row],[patient_id]],tblPatients[[patient_id]:[Age_Group]],12,FALSE)</f>
        <v>Linda Miller</v>
      </c>
      <c r="K197" s="4" t="str">
        <f>VLOOKUP(tblAppointments[[#This Row],[doctor_id]],tblDoctors[[doctor_id]:[Full_name]],9,FALSE)</f>
        <v>Alex Davis</v>
      </c>
    </row>
    <row r="198" spans="1:11" x14ac:dyDescent="0.35">
      <c r="A198" t="s">
        <v>421</v>
      </c>
      <c r="B198" t="s">
        <v>11</v>
      </c>
      <c r="C198" t="s">
        <v>198</v>
      </c>
      <c r="D198" s="1">
        <v>45017</v>
      </c>
      <c r="E198" s="2">
        <v>0.5625</v>
      </c>
      <c r="F198" t="s">
        <v>226</v>
      </c>
      <c r="G198" t="s">
        <v>220</v>
      </c>
      <c r="H198" t="str">
        <f>TEXT(tblAppointments[[#This Row],[appointment_date]], "MMMM")</f>
        <v>April</v>
      </c>
      <c r="I198">
        <f>YEAR(tblAppointments[[#This Row],[appointment_date]])</f>
        <v>2023</v>
      </c>
      <c r="J198" s="4" t="str">
        <f>VLOOKUP(tblAppointments[[#This Row],[patient_id]],tblPatients[[patient_id]:[Age_Group]],12,FALSE)</f>
        <v>David Williams</v>
      </c>
      <c r="K198" s="4" t="str">
        <f>VLOOKUP(tblAppointments[[#This Row],[doctor_id]],tblDoctors[[doctor_id]:[Full_name]],9,FALSE)</f>
        <v>Sarah Taylor</v>
      </c>
    </row>
    <row r="199" spans="1:11" x14ac:dyDescent="0.35">
      <c r="A199" t="s">
        <v>422</v>
      </c>
      <c r="B199" t="s">
        <v>99</v>
      </c>
      <c r="C199" t="s">
        <v>200</v>
      </c>
      <c r="D199" s="1">
        <v>45061</v>
      </c>
      <c r="E199" s="2">
        <v>0.35416666666666669</v>
      </c>
      <c r="F199" t="s">
        <v>217</v>
      </c>
      <c r="G199" t="s">
        <v>220</v>
      </c>
      <c r="H199" t="str">
        <f>TEXT(tblAppointments[[#This Row],[appointment_date]], "MMMM")</f>
        <v>May</v>
      </c>
      <c r="I199">
        <f>YEAR(tblAppointments[[#This Row],[appointment_date]])</f>
        <v>2023</v>
      </c>
      <c r="J199" s="4" t="str">
        <f>VLOOKUP(tblAppointments[[#This Row],[patient_id]],tblPatients[[patient_id]:[Age_Group]],12,FALSE)</f>
        <v>John Brown</v>
      </c>
      <c r="K199" s="4" t="str">
        <f>VLOOKUP(tblAppointments[[#This Row],[doctor_id]],tblDoctors[[doctor_id]:[Full_name]],9,FALSE)</f>
        <v>Alex Davis</v>
      </c>
    </row>
    <row r="200" spans="1:11" x14ac:dyDescent="0.35">
      <c r="A200" t="s">
        <v>423</v>
      </c>
      <c r="B200" t="s">
        <v>81</v>
      </c>
      <c r="C200" t="s">
        <v>185</v>
      </c>
      <c r="D200" s="1">
        <v>45047</v>
      </c>
      <c r="E200" s="2">
        <v>0.53125</v>
      </c>
      <c r="F200" t="s">
        <v>232</v>
      </c>
      <c r="G200" t="s">
        <v>234</v>
      </c>
      <c r="H200" t="str">
        <f>TEXT(tblAppointments[[#This Row],[appointment_date]], "MMMM")</f>
        <v>May</v>
      </c>
      <c r="I200">
        <f>YEAR(tblAppointments[[#This Row],[appointment_date]])</f>
        <v>2023</v>
      </c>
      <c r="J200" s="4" t="str">
        <f>VLOOKUP(tblAppointments[[#This Row],[patient_id]],tblPatients[[patient_id]:[Age_Group]],12,FALSE)</f>
        <v>Jane Jones</v>
      </c>
      <c r="K200" s="4" t="str">
        <f>VLOOKUP(tblAppointments[[#This Row],[doctor_id]],tblDoctors[[doctor_id]:[Full_name]],9,FALSE)</f>
        <v>David Taylor</v>
      </c>
    </row>
    <row r="201" spans="1:11" x14ac:dyDescent="0.35">
      <c r="A201" t="s">
        <v>424</v>
      </c>
      <c r="B201" t="s">
        <v>48</v>
      </c>
      <c r="C201" t="s">
        <v>198</v>
      </c>
      <c r="D201" s="1">
        <v>45290</v>
      </c>
      <c r="E201" s="2">
        <v>0.42708333333333331</v>
      </c>
      <c r="F201" t="s">
        <v>222</v>
      </c>
      <c r="G201" t="s">
        <v>223</v>
      </c>
      <c r="H201" t="str">
        <f>TEXT(tblAppointments[[#This Row],[appointment_date]], "MMMM")</f>
        <v>December</v>
      </c>
      <c r="I201">
        <f>YEAR(tblAppointments[[#This Row],[appointment_date]])</f>
        <v>2023</v>
      </c>
      <c r="J201" s="4" t="str">
        <f>VLOOKUP(tblAppointments[[#This Row],[patient_id]],tblPatients[[patient_id]:[Age_Group]],12,FALSE)</f>
        <v>Alex Johnson</v>
      </c>
      <c r="K201" s="4" t="str">
        <f>VLOOKUP(tblAppointments[[#This Row],[doctor_id]],tblDoctors[[doctor_id]:[Full_name]],9,FALSE)</f>
        <v>Sarah Taylor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2D93-33ED-4D02-B72E-BFA14F5BDCBF}">
  <dimension ref="A1:F201"/>
  <sheetViews>
    <sheetView workbookViewId="0">
      <selection activeCell="G1" sqref="G1"/>
    </sheetView>
  </sheetViews>
  <sheetFormatPr defaultRowHeight="14.5" x14ac:dyDescent="0.35"/>
  <cols>
    <col min="1" max="1" width="14" customWidth="1"/>
    <col min="2" max="2" width="16.36328125" customWidth="1"/>
    <col min="3" max="3" width="16.1796875" customWidth="1"/>
    <col min="4" max="4" width="17.6328125" bestFit="1" customWidth="1"/>
    <col min="5" max="5" width="7.81640625" bestFit="1" customWidth="1"/>
    <col min="6" max="6" width="16.26953125" customWidth="1"/>
  </cols>
  <sheetData>
    <row r="1" spans="1:6" x14ac:dyDescent="0.35">
      <c r="A1" t="s">
        <v>425</v>
      </c>
      <c r="B1" t="s">
        <v>211</v>
      </c>
      <c r="C1" t="s">
        <v>426</v>
      </c>
      <c r="D1" t="s">
        <v>427</v>
      </c>
      <c r="E1" t="s">
        <v>428</v>
      </c>
      <c r="F1" t="s">
        <v>429</v>
      </c>
    </row>
    <row r="2" spans="1:6" x14ac:dyDescent="0.35">
      <c r="A2" t="s">
        <v>430</v>
      </c>
      <c r="B2" t="s">
        <v>216</v>
      </c>
      <c r="C2" t="s">
        <v>431</v>
      </c>
      <c r="D2" t="s">
        <v>432</v>
      </c>
      <c r="E2">
        <v>3941.97</v>
      </c>
      <c r="F2" s="1">
        <v>45147</v>
      </c>
    </row>
    <row r="3" spans="1:6" x14ac:dyDescent="0.35">
      <c r="A3" t="s">
        <v>433</v>
      </c>
      <c r="B3" t="s">
        <v>219</v>
      </c>
      <c r="C3" t="s">
        <v>434</v>
      </c>
      <c r="D3" t="s">
        <v>435</v>
      </c>
      <c r="E3">
        <v>4158.4399999999996</v>
      </c>
      <c r="F3" s="1">
        <v>45086</v>
      </c>
    </row>
    <row r="4" spans="1:6" x14ac:dyDescent="0.35">
      <c r="A4" t="s">
        <v>436</v>
      </c>
      <c r="B4" t="s">
        <v>221</v>
      </c>
      <c r="C4" t="s">
        <v>434</v>
      </c>
      <c r="D4" t="s">
        <v>437</v>
      </c>
      <c r="E4">
        <v>3731.55</v>
      </c>
      <c r="F4" s="1">
        <v>45105</v>
      </c>
    </row>
    <row r="5" spans="1:6" x14ac:dyDescent="0.35">
      <c r="A5" t="s">
        <v>438</v>
      </c>
      <c r="B5" t="s">
        <v>224</v>
      </c>
      <c r="C5" t="s">
        <v>434</v>
      </c>
      <c r="D5" t="s">
        <v>432</v>
      </c>
      <c r="E5">
        <v>4799.8599999999997</v>
      </c>
      <c r="F5" s="1">
        <v>45170</v>
      </c>
    </row>
    <row r="6" spans="1:6" x14ac:dyDescent="0.35">
      <c r="A6" t="s">
        <v>439</v>
      </c>
      <c r="B6" t="s">
        <v>225</v>
      </c>
      <c r="C6" t="s">
        <v>440</v>
      </c>
      <c r="D6" t="s">
        <v>437</v>
      </c>
      <c r="E6">
        <v>582.04999999999995</v>
      </c>
      <c r="F6" s="1">
        <v>45113</v>
      </c>
    </row>
    <row r="7" spans="1:6" x14ac:dyDescent="0.35">
      <c r="A7" t="s">
        <v>441</v>
      </c>
      <c r="B7" t="s">
        <v>227</v>
      </c>
      <c r="C7" t="s">
        <v>431</v>
      </c>
      <c r="D7" t="s">
        <v>437</v>
      </c>
      <c r="E7">
        <v>1381</v>
      </c>
      <c r="F7" s="1">
        <v>45096</v>
      </c>
    </row>
    <row r="8" spans="1:6" x14ac:dyDescent="0.35">
      <c r="A8" t="s">
        <v>442</v>
      </c>
      <c r="B8" t="s">
        <v>229</v>
      </c>
      <c r="C8" t="s">
        <v>431</v>
      </c>
      <c r="D8" t="s">
        <v>435</v>
      </c>
      <c r="E8">
        <v>534.03</v>
      </c>
      <c r="F8" s="1">
        <v>45025</v>
      </c>
    </row>
    <row r="9" spans="1:6" x14ac:dyDescent="0.35">
      <c r="A9" t="s">
        <v>443</v>
      </c>
      <c r="B9" t="s">
        <v>230</v>
      </c>
      <c r="C9" t="s">
        <v>444</v>
      </c>
      <c r="D9" t="s">
        <v>432</v>
      </c>
      <c r="E9">
        <v>3413.64</v>
      </c>
      <c r="F9" s="1">
        <v>45070</v>
      </c>
    </row>
    <row r="10" spans="1:6" x14ac:dyDescent="0.35">
      <c r="A10" t="s">
        <v>445</v>
      </c>
      <c r="B10" t="s">
        <v>231</v>
      </c>
      <c r="C10" t="s">
        <v>444</v>
      </c>
      <c r="D10" t="s">
        <v>437</v>
      </c>
      <c r="E10">
        <v>4541.1400000000003</v>
      </c>
      <c r="F10" s="1">
        <v>44990</v>
      </c>
    </row>
    <row r="11" spans="1:6" x14ac:dyDescent="0.35">
      <c r="A11" t="s">
        <v>446</v>
      </c>
      <c r="B11" t="s">
        <v>233</v>
      </c>
      <c r="C11" t="s">
        <v>444</v>
      </c>
      <c r="D11" t="s">
        <v>437</v>
      </c>
      <c r="E11">
        <v>1595.67</v>
      </c>
      <c r="F11" s="1">
        <v>44939</v>
      </c>
    </row>
    <row r="12" spans="1:6" x14ac:dyDescent="0.35">
      <c r="A12" t="s">
        <v>447</v>
      </c>
      <c r="B12" t="s">
        <v>235</v>
      </c>
      <c r="C12" t="s">
        <v>434</v>
      </c>
      <c r="D12" t="s">
        <v>432</v>
      </c>
      <c r="E12">
        <v>4671.66</v>
      </c>
      <c r="F12" s="1">
        <v>45242</v>
      </c>
    </row>
    <row r="13" spans="1:6" x14ac:dyDescent="0.35">
      <c r="A13" t="s">
        <v>448</v>
      </c>
      <c r="B13" t="s">
        <v>236</v>
      </c>
      <c r="C13" t="s">
        <v>431</v>
      </c>
      <c r="D13" t="s">
        <v>437</v>
      </c>
      <c r="E13">
        <v>771.2</v>
      </c>
      <c r="F13" s="1">
        <v>45053</v>
      </c>
    </row>
    <row r="14" spans="1:6" x14ac:dyDescent="0.35">
      <c r="A14" t="s">
        <v>449</v>
      </c>
      <c r="B14" t="s">
        <v>237</v>
      </c>
      <c r="C14" t="s">
        <v>434</v>
      </c>
      <c r="D14" t="s">
        <v>437</v>
      </c>
      <c r="E14">
        <v>4704.96</v>
      </c>
      <c r="F14" s="1">
        <v>45154</v>
      </c>
    </row>
    <row r="15" spans="1:6" x14ac:dyDescent="0.35">
      <c r="A15" t="s">
        <v>450</v>
      </c>
      <c r="B15" t="s">
        <v>238</v>
      </c>
      <c r="C15" t="s">
        <v>440</v>
      </c>
      <c r="D15" t="s">
        <v>432</v>
      </c>
      <c r="E15">
        <v>2082.3000000000002</v>
      </c>
      <c r="F15" s="1">
        <v>45071</v>
      </c>
    </row>
    <row r="16" spans="1:6" x14ac:dyDescent="0.35">
      <c r="A16" t="s">
        <v>451</v>
      </c>
      <c r="B16" t="s">
        <v>239</v>
      </c>
      <c r="C16" t="s">
        <v>444</v>
      </c>
      <c r="D16" t="s">
        <v>432</v>
      </c>
      <c r="E16">
        <v>956.39</v>
      </c>
      <c r="F16" s="1">
        <v>44941</v>
      </c>
    </row>
    <row r="17" spans="1:6" x14ac:dyDescent="0.35">
      <c r="A17" t="s">
        <v>452</v>
      </c>
      <c r="B17" t="s">
        <v>240</v>
      </c>
      <c r="C17" t="s">
        <v>434</v>
      </c>
      <c r="D17" t="s">
        <v>432</v>
      </c>
      <c r="E17">
        <v>2686.42</v>
      </c>
      <c r="F17" s="1">
        <v>45107</v>
      </c>
    </row>
    <row r="18" spans="1:6" x14ac:dyDescent="0.35">
      <c r="A18" t="s">
        <v>453</v>
      </c>
      <c r="B18" t="s">
        <v>241</v>
      </c>
      <c r="C18" t="s">
        <v>434</v>
      </c>
      <c r="D18" t="s">
        <v>432</v>
      </c>
      <c r="E18">
        <v>1655.49</v>
      </c>
      <c r="F18" s="1">
        <v>45118</v>
      </c>
    </row>
    <row r="19" spans="1:6" x14ac:dyDescent="0.35">
      <c r="A19" t="s">
        <v>454</v>
      </c>
      <c r="B19" t="s">
        <v>242</v>
      </c>
      <c r="C19" t="s">
        <v>440</v>
      </c>
      <c r="D19" t="s">
        <v>435</v>
      </c>
      <c r="E19">
        <v>1781.93</v>
      </c>
      <c r="F19" s="1">
        <v>45244</v>
      </c>
    </row>
    <row r="20" spans="1:6" x14ac:dyDescent="0.35">
      <c r="A20" t="s">
        <v>455</v>
      </c>
      <c r="B20" t="s">
        <v>243</v>
      </c>
      <c r="C20" t="s">
        <v>456</v>
      </c>
      <c r="D20" t="s">
        <v>432</v>
      </c>
      <c r="E20">
        <v>1882.8</v>
      </c>
      <c r="F20" s="1">
        <v>44963</v>
      </c>
    </row>
    <row r="21" spans="1:6" x14ac:dyDescent="0.35">
      <c r="A21" t="s">
        <v>457</v>
      </c>
      <c r="B21" t="s">
        <v>244</v>
      </c>
      <c r="C21" t="s">
        <v>431</v>
      </c>
      <c r="D21" t="s">
        <v>435</v>
      </c>
      <c r="E21">
        <v>4113.62</v>
      </c>
      <c r="F21" s="1">
        <v>45265</v>
      </c>
    </row>
    <row r="22" spans="1:6" x14ac:dyDescent="0.35">
      <c r="A22" t="s">
        <v>458</v>
      </c>
      <c r="B22" t="s">
        <v>245</v>
      </c>
      <c r="C22" t="s">
        <v>456</v>
      </c>
      <c r="D22" t="s">
        <v>435</v>
      </c>
      <c r="E22">
        <v>2926.23</v>
      </c>
      <c r="F22" s="1">
        <v>45040</v>
      </c>
    </row>
    <row r="23" spans="1:6" x14ac:dyDescent="0.35">
      <c r="A23" t="s">
        <v>459</v>
      </c>
      <c r="B23" t="s">
        <v>246</v>
      </c>
      <c r="C23" t="s">
        <v>444</v>
      </c>
      <c r="D23" t="s">
        <v>435</v>
      </c>
      <c r="E23">
        <v>1900.88</v>
      </c>
      <c r="F23" s="1">
        <v>45244</v>
      </c>
    </row>
    <row r="24" spans="1:6" x14ac:dyDescent="0.35">
      <c r="A24" t="s">
        <v>460</v>
      </c>
      <c r="B24" t="s">
        <v>247</v>
      </c>
      <c r="C24" t="s">
        <v>434</v>
      </c>
      <c r="D24" t="s">
        <v>437</v>
      </c>
      <c r="E24">
        <v>3246.5</v>
      </c>
      <c r="F24" s="1">
        <v>45055</v>
      </c>
    </row>
    <row r="25" spans="1:6" x14ac:dyDescent="0.35">
      <c r="A25" t="s">
        <v>461</v>
      </c>
      <c r="B25" t="s">
        <v>248</v>
      </c>
      <c r="C25" t="s">
        <v>440</v>
      </c>
      <c r="D25" t="s">
        <v>435</v>
      </c>
      <c r="E25">
        <v>3722.68</v>
      </c>
      <c r="F25" s="1">
        <v>45098</v>
      </c>
    </row>
    <row r="26" spans="1:6" x14ac:dyDescent="0.35">
      <c r="A26" t="s">
        <v>462</v>
      </c>
      <c r="B26" t="s">
        <v>249</v>
      </c>
      <c r="C26" t="s">
        <v>440</v>
      </c>
      <c r="D26" t="s">
        <v>435</v>
      </c>
      <c r="E26">
        <v>1726.81</v>
      </c>
      <c r="F26" s="1">
        <v>44982</v>
      </c>
    </row>
    <row r="27" spans="1:6" x14ac:dyDescent="0.35">
      <c r="A27" t="s">
        <v>463</v>
      </c>
      <c r="B27" t="s">
        <v>250</v>
      </c>
      <c r="C27" t="s">
        <v>431</v>
      </c>
      <c r="D27" t="s">
        <v>437</v>
      </c>
      <c r="E27">
        <v>2360.9699999999998</v>
      </c>
      <c r="F27" s="1">
        <v>45002</v>
      </c>
    </row>
    <row r="28" spans="1:6" x14ac:dyDescent="0.35">
      <c r="A28" t="s">
        <v>464</v>
      </c>
      <c r="B28" t="s">
        <v>251</v>
      </c>
      <c r="C28" t="s">
        <v>456</v>
      </c>
      <c r="D28" t="s">
        <v>437</v>
      </c>
      <c r="E28">
        <v>1048.49</v>
      </c>
      <c r="F28" s="1">
        <v>45244</v>
      </c>
    </row>
    <row r="29" spans="1:6" x14ac:dyDescent="0.35">
      <c r="A29" t="s">
        <v>465</v>
      </c>
      <c r="B29" t="s">
        <v>252</v>
      </c>
      <c r="C29" t="s">
        <v>431</v>
      </c>
      <c r="D29" t="s">
        <v>437</v>
      </c>
      <c r="E29">
        <v>1315.17</v>
      </c>
      <c r="F29" s="1">
        <v>45228</v>
      </c>
    </row>
    <row r="30" spans="1:6" x14ac:dyDescent="0.35">
      <c r="A30" t="s">
        <v>466</v>
      </c>
      <c r="B30" t="s">
        <v>253</v>
      </c>
      <c r="C30" t="s">
        <v>434</v>
      </c>
      <c r="D30" t="s">
        <v>432</v>
      </c>
      <c r="E30">
        <v>3565.03</v>
      </c>
      <c r="F30" s="1">
        <v>45102</v>
      </c>
    </row>
    <row r="31" spans="1:6" x14ac:dyDescent="0.35">
      <c r="A31" t="s">
        <v>467</v>
      </c>
      <c r="B31" t="s">
        <v>254</v>
      </c>
      <c r="C31" t="s">
        <v>431</v>
      </c>
      <c r="D31" t="s">
        <v>437</v>
      </c>
      <c r="E31">
        <v>1316.47</v>
      </c>
      <c r="F31" s="1">
        <v>45167</v>
      </c>
    </row>
    <row r="32" spans="1:6" x14ac:dyDescent="0.35">
      <c r="A32" t="s">
        <v>468</v>
      </c>
      <c r="B32" t="s">
        <v>255</v>
      </c>
      <c r="C32" t="s">
        <v>440</v>
      </c>
      <c r="D32" t="s">
        <v>437</v>
      </c>
      <c r="E32">
        <v>2863.24</v>
      </c>
      <c r="F32" s="1">
        <v>45020</v>
      </c>
    </row>
    <row r="33" spans="1:6" x14ac:dyDescent="0.35">
      <c r="A33" t="s">
        <v>469</v>
      </c>
      <c r="B33" t="s">
        <v>256</v>
      </c>
      <c r="C33" t="s">
        <v>440</v>
      </c>
      <c r="D33" t="s">
        <v>435</v>
      </c>
      <c r="E33">
        <v>3690.71</v>
      </c>
      <c r="F33" s="1">
        <v>45236</v>
      </c>
    </row>
    <row r="34" spans="1:6" x14ac:dyDescent="0.35">
      <c r="A34" t="s">
        <v>470</v>
      </c>
      <c r="B34" t="s">
        <v>257</v>
      </c>
      <c r="C34" t="s">
        <v>444</v>
      </c>
      <c r="D34" t="s">
        <v>437</v>
      </c>
      <c r="E34">
        <v>980.95</v>
      </c>
      <c r="F34" s="1">
        <v>45192</v>
      </c>
    </row>
    <row r="35" spans="1:6" x14ac:dyDescent="0.35">
      <c r="A35" t="s">
        <v>471</v>
      </c>
      <c r="B35" t="s">
        <v>258</v>
      </c>
      <c r="C35" t="s">
        <v>444</v>
      </c>
      <c r="D35" t="s">
        <v>432</v>
      </c>
      <c r="E35">
        <v>3052.9</v>
      </c>
      <c r="F35" s="1">
        <v>45090</v>
      </c>
    </row>
    <row r="36" spans="1:6" x14ac:dyDescent="0.35">
      <c r="A36" t="s">
        <v>472</v>
      </c>
      <c r="B36" t="s">
        <v>259</v>
      </c>
      <c r="C36" t="s">
        <v>434</v>
      </c>
      <c r="D36" t="s">
        <v>437</v>
      </c>
      <c r="E36">
        <v>1654.53</v>
      </c>
      <c r="F36" s="1">
        <v>45034</v>
      </c>
    </row>
    <row r="37" spans="1:6" x14ac:dyDescent="0.35">
      <c r="A37" t="s">
        <v>473</v>
      </c>
      <c r="B37" t="s">
        <v>260</v>
      </c>
      <c r="C37" t="s">
        <v>456</v>
      </c>
      <c r="D37" t="s">
        <v>432</v>
      </c>
      <c r="E37">
        <v>4833.17</v>
      </c>
      <c r="F37" s="1">
        <v>44934</v>
      </c>
    </row>
    <row r="38" spans="1:6" x14ac:dyDescent="0.35">
      <c r="A38" t="s">
        <v>474</v>
      </c>
      <c r="B38" t="s">
        <v>261</v>
      </c>
      <c r="C38" t="s">
        <v>431</v>
      </c>
      <c r="D38" t="s">
        <v>437</v>
      </c>
      <c r="E38">
        <v>2675.96</v>
      </c>
      <c r="F38" s="1">
        <v>45013</v>
      </c>
    </row>
    <row r="39" spans="1:6" x14ac:dyDescent="0.35">
      <c r="A39" t="s">
        <v>475</v>
      </c>
      <c r="B39" t="s">
        <v>262</v>
      </c>
      <c r="C39" t="s">
        <v>434</v>
      </c>
      <c r="D39" t="s">
        <v>437</v>
      </c>
      <c r="E39">
        <v>4126.97</v>
      </c>
      <c r="F39" s="1">
        <v>44980</v>
      </c>
    </row>
    <row r="40" spans="1:6" x14ac:dyDescent="0.35">
      <c r="A40" t="s">
        <v>476</v>
      </c>
      <c r="B40" t="s">
        <v>263</v>
      </c>
      <c r="C40" t="s">
        <v>444</v>
      </c>
      <c r="D40" t="s">
        <v>437</v>
      </c>
      <c r="E40">
        <v>2976.02</v>
      </c>
      <c r="F40" s="1">
        <v>45033</v>
      </c>
    </row>
    <row r="41" spans="1:6" x14ac:dyDescent="0.35">
      <c r="A41" t="s">
        <v>477</v>
      </c>
      <c r="B41" t="s">
        <v>264</v>
      </c>
      <c r="C41" t="s">
        <v>431</v>
      </c>
      <c r="D41" t="s">
        <v>437</v>
      </c>
      <c r="E41">
        <v>695.36</v>
      </c>
      <c r="F41" s="1">
        <v>45012</v>
      </c>
    </row>
    <row r="42" spans="1:6" x14ac:dyDescent="0.35">
      <c r="A42" t="s">
        <v>478</v>
      </c>
      <c r="B42" t="s">
        <v>265</v>
      </c>
      <c r="C42" t="s">
        <v>444</v>
      </c>
      <c r="D42" t="s">
        <v>432</v>
      </c>
      <c r="E42">
        <v>3349.18</v>
      </c>
      <c r="F42" s="1">
        <v>44927</v>
      </c>
    </row>
    <row r="43" spans="1:6" x14ac:dyDescent="0.35">
      <c r="A43" t="s">
        <v>479</v>
      </c>
      <c r="B43" t="s">
        <v>266</v>
      </c>
      <c r="C43" t="s">
        <v>431</v>
      </c>
      <c r="D43" t="s">
        <v>432</v>
      </c>
      <c r="E43">
        <v>4781.32</v>
      </c>
      <c r="F43" s="1">
        <v>45006</v>
      </c>
    </row>
    <row r="44" spans="1:6" x14ac:dyDescent="0.35">
      <c r="A44" t="s">
        <v>480</v>
      </c>
      <c r="B44" t="s">
        <v>267</v>
      </c>
      <c r="C44" t="s">
        <v>456</v>
      </c>
      <c r="D44" t="s">
        <v>435</v>
      </c>
      <c r="E44">
        <v>3207.25</v>
      </c>
      <c r="F44" s="1">
        <v>45014</v>
      </c>
    </row>
    <row r="45" spans="1:6" x14ac:dyDescent="0.35">
      <c r="A45" t="s">
        <v>481</v>
      </c>
      <c r="B45" t="s">
        <v>268</v>
      </c>
      <c r="C45" t="s">
        <v>434</v>
      </c>
      <c r="D45" t="s">
        <v>432</v>
      </c>
      <c r="E45">
        <v>4186.3500000000004</v>
      </c>
      <c r="F45" s="1">
        <v>45189</v>
      </c>
    </row>
    <row r="46" spans="1:6" x14ac:dyDescent="0.35">
      <c r="A46" t="s">
        <v>482</v>
      </c>
      <c r="B46" t="s">
        <v>269</v>
      </c>
      <c r="C46" t="s">
        <v>431</v>
      </c>
      <c r="D46" t="s">
        <v>437</v>
      </c>
      <c r="E46">
        <v>4478.93</v>
      </c>
      <c r="F46" s="1">
        <v>45197</v>
      </c>
    </row>
    <row r="47" spans="1:6" x14ac:dyDescent="0.35">
      <c r="A47" t="s">
        <v>483</v>
      </c>
      <c r="B47" t="s">
        <v>270</v>
      </c>
      <c r="C47" t="s">
        <v>440</v>
      </c>
      <c r="D47" t="s">
        <v>435</v>
      </c>
      <c r="E47">
        <v>1526.36</v>
      </c>
      <c r="F47" s="1">
        <v>45280</v>
      </c>
    </row>
    <row r="48" spans="1:6" x14ac:dyDescent="0.35">
      <c r="A48" t="s">
        <v>484</v>
      </c>
      <c r="B48" t="s">
        <v>271</v>
      </c>
      <c r="C48" t="s">
        <v>440</v>
      </c>
      <c r="D48" t="s">
        <v>435</v>
      </c>
      <c r="E48">
        <v>1454.2</v>
      </c>
      <c r="F48" s="1">
        <v>45048</v>
      </c>
    </row>
    <row r="49" spans="1:6" x14ac:dyDescent="0.35">
      <c r="A49" t="s">
        <v>485</v>
      </c>
      <c r="B49" t="s">
        <v>272</v>
      </c>
      <c r="C49" t="s">
        <v>431</v>
      </c>
      <c r="D49" t="s">
        <v>435</v>
      </c>
      <c r="E49">
        <v>3249.41</v>
      </c>
      <c r="F49" s="1">
        <v>44942</v>
      </c>
    </row>
    <row r="50" spans="1:6" x14ac:dyDescent="0.35">
      <c r="A50" t="s">
        <v>486</v>
      </c>
      <c r="B50" t="s">
        <v>273</v>
      </c>
      <c r="C50" t="s">
        <v>431</v>
      </c>
      <c r="D50" t="s">
        <v>437</v>
      </c>
      <c r="E50">
        <v>2349.63</v>
      </c>
      <c r="F50" s="1">
        <v>45046</v>
      </c>
    </row>
    <row r="51" spans="1:6" x14ac:dyDescent="0.35">
      <c r="A51" t="s">
        <v>487</v>
      </c>
      <c r="B51" t="s">
        <v>274</v>
      </c>
      <c r="C51" t="s">
        <v>431</v>
      </c>
      <c r="D51" t="s">
        <v>432</v>
      </c>
      <c r="E51">
        <v>4279.38</v>
      </c>
      <c r="F51" s="1">
        <v>45154</v>
      </c>
    </row>
    <row r="52" spans="1:6" x14ac:dyDescent="0.35">
      <c r="A52" t="s">
        <v>488</v>
      </c>
      <c r="B52" t="s">
        <v>275</v>
      </c>
      <c r="C52" t="s">
        <v>440</v>
      </c>
      <c r="D52" t="s">
        <v>437</v>
      </c>
      <c r="E52">
        <v>4550.1000000000004</v>
      </c>
      <c r="F52" s="1">
        <v>44961</v>
      </c>
    </row>
    <row r="53" spans="1:6" x14ac:dyDescent="0.35">
      <c r="A53" t="s">
        <v>489</v>
      </c>
      <c r="B53" t="s">
        <v>276</v>
      </c>
      <c r="C53" t="s">
        <v>440</v>
      </c>
      <c r="D53" t="s">
        <v>435</v>
      </c>
      <c r="E53">
        <v>2090.4</v>
      </c>
      <c r="F53" s="1">
        <v>45119</v>
      </c>
    </row>
    <row r="54" spans="1:6" x14ac:dyDescent="0.35">
      <c r="A54" t="s">
        <v>490</v>
      </c>
      <c r="B54" t="s">
        <v>277</v>
      </c>
      <c r="C54" t="s">
        <v>431</v>
      </c>
      <c r="D54" t="s">
        <v>437</v>
      </c>
      <c r="E54">
        <v>1565.92</v>
      </c>
      <c r="F54" s="1">
        <v>44969</v>
      </c>
    </row>
    <row r="55" spans="1:6" x14ac:dyDescent="0.35">
      <c r="A55" t="s">
        <v>491</v>
      </c>
      <c r="B55" t="s">
        <v>278</v>
      </c>
      <c r="C55" t="s">
        <v>444</v>
      </c>
      <c r="D55" t="s">
        <v>437</v>
      </c>
      <c r="E55">
        <v>4012.36</v>
      </c>
      <c r="F55" s="1">
        <v>45276</v>
      </c>
    </row>
    <row r="56" spans="1:6" x14ac:dyDescent="0.35">
      <c r="A56" t="s">
        <v>492</v>
      </c>
      <c r="B56" t="s">
        <v>279</v>
      </c>
      <c r="C56" t="s">
        <v>444</v>
      </c>
      <c r="D56" t="s">
        <v>432</v>
      </c>
      <c r="E56">
        <v>1736.63</v>
      </c>
      <c r="F56" s="1">
        <v>45205</v>
      </c>
    </row>
    <row r="57" spans="1:6" x14ac:dyDescent="0.35">
      <c r="A57" t="s">
        <v>493</v>
      </c>
      <c r="B57" t="s">
        <v>280</v>
      </c>
      <c r="C57" t="s">
        <v>456</v>
      </c>
      <c r="D57" t="s">
        <v>432</v>
      </c>
      <c r="E57">
        <v>4201.76</v>
      </c>
      <c r="F57" s="1">
        <v>44928</v>
      </c>
    </row>
    <row r="58" spans="1:6" x14ac:dyDescent="0.35">
      <c r="A58" t="s">
        <v>494</v>
      </c>
      <c r="B58" t="s">
        <v>281</v>
      </c>
      <c r="C58" t="s">
        <v>434</v>
      </c>
      <c r="D58" t="s">
        <v>435</v>
      </c>
      <c r="E58">
        <v>2406.8200000000002</v>
      </c>
      <c r="F58" s="1">
        <v>45031</v>
      </c>
    </row>
    <row r="59" spans="1:6" x14ac:dyDescent="0.35">
      <c r="A59" t="s">
        <v>495</v>
      </c>
      <c r="B59" t="s">
        <v>282</v>
      </c>
      <c r="C59" t="s">
        <v>444</v>
      </c>
      <c r="D59" t="s">
        <v>437</v>
      </c>
      <c r="E59">
        <v>3503.97</v>
      </c>
      <c r="F59" s="1">
        <v>45055</v>
      </c>
    </row>
    <row r="60" spans="1:6" x14ac:dyDescent="0.35">
      <c r="A60" t="s">
        <v>496</v>
      </c>
      <c r="B60" t="s">
        <v>283</v>
      </c>
      <c r="C60" t="s">
        <v>440</v>
      </c>
      <c r="D60" t="s">
        <v>437</v>
      </c>
      <c r="E60">
        <v>929.91</v>
      </c>
      <c r="F60" s="1">
        <v>44994</v>
      </c>
    </row>
    <row r="61" spans="1:6" x14ac:dyDescent="0.35">
      <c r="A61" t="s">
        <v>497</v>
      </c>
      <c r="B61" t="s">
        <v>284</v>
      </c>
      <c r="C61" t="s">
        <v>444</v>
      </c>
      <c r="D61" t="s">
        <v>432</v>
      </c>
      <c r="E61">
        <v>3307.37</v>
      </c>
      <c r="F61" s="1">
        <v>45252</v>
      </c>
    </row>
    <row r="62" spans="1:6" x14ac:dyDescent="0.35">
      <c r="A62" t="s">
        <v>498</v>
      </c>
      <c r="B62" t="s">
        <v>285</v>
      </c>
      <c r="C62" t="s">
        <v>456</v>
      </c>
      <c r="D62" t="s">
        <v>437</v>
      </c>
      <c r="E62">
        <v>2532.9499999999998</v>
      </c>
      <c r="F62" s="1">
        <v>44941</v>
      </c>
    </row>
    <row r="63" spans="1:6" x14ac:dyDescent="0.35">
      <c r="A63" t="s">
        <v>499</v>
      </c>
      <c r="B63" t="s">
        <v>286</v>
      </c>
      <c r="C63" t="s">
        <v>456</v>
      </c>
      <c r="D63" t="s">
        <v>437</v>
      </c>
      <c r="E63">
        <v>3139.74</v>
      </c>
      <c r="F63" s="1">
        <v>45091</v>
      </c>
    </row>
    <row r="64" spans="1:6" x14ac:dyDescent="0.35">
      <c r="A64" t="s">
        <v>500</v>
      </c>
      <c r="B64" t="s">
        <v>287</v>
      </c>
      <c r="C64" t="s">
        <v>434</v>
      </c>
      <c r="D64" t="s">
        <v>437</v>
      </c>
      <c r="E64">
        <v>1256.06</v>
      </c>
      <c r="F64" s="1">
        <v>45106</v>
      </c>
    </row>
    <row r="65" spans="1:6" x14ac:dyDescent="0.35">
      <c r="A65" t="s">
        <v>501</v>
      </c>
      <c r="B65" t="s">
        <v>288</v>
      </c>
      <c r="C65" t="s">
        <v>444</v>
      </c>
      <c r="D65" t="s">
        <v>432</v>
      </c>
      <c r="E65">
        <v>3815.93</v>
      </c>
      <c r="F65" s="1">
        <v>45077</v>
      </c>
    </row>
    <row r="66" spans="1:6" x14ac:dyDescent="0.35">
      <c r="A66" t="s">
        <v>502</v>
      </c>
      <c r="B66" t="s">
        <v>289</v>
      </c>
      <c r="C66" t="s">
        <v>440</v>
      </c>
      <c r="D66" t="s">
        <v>435</v>
      </c>
      <c r="E66">
        <v>4382.59</v>
      </c>
      <c r="F66" s="1">
        <v>45040</v>
      </c>
    </row>
    <row r="67" spans="1:6" x14ac:dyDescent="0.35">
      <c r="A67" t="s">
        <v>503</v>
      </c>
      <c r="B67" t="s">
        <v>290</v>
      </c>
      <c r="C67" t="s">
        <v>440</v>
      </c>
      <c r="D67" t="s">
        <v>435</v>
      </c>
      <c r="E67">
        <v>1475.33</v>
      </c>
      <c r="F67" s="1">
        <v>45056</v>
      </c>
    </row>
    <row r="68" spans="1:6" x14ac:dyDescent="0.35">
      <c r="A68" t="s">
        <v>504</v>
      </c>
      <c r="B68" t="s">
        <v>291</v>
      </c>
      <c r="C68" t="s">
        <v>431</v>
      </c>
      <c r="D68" t="s">
        <v>437</v>
      </c>
      <c r="E68">
        <v>930.72</v>
      </c>
      <c r="F68" s="1">
        <v>45148</v>
      </c>
    </row>
    <row r="69" spans="1:6" x14ac:dyDescent="0.35">
      <c r="A69" t="s">
        <v>505</v>
      </c>
      <c r="B69" t="s">
        <v>292</v>
      </c>
      <c r="C69" t="s">
        <v>440</v>
      </c>
      <c r="D69" t="s">
        <v>435</v>
      </c>
      <c r="E69">
        <v>606.37</v>
      </c>
      <c r="F69" s="1">
        <v>44999</v>
      </c>
    </row>
    <row r="70" spans="1:6" x14ac:dyDescent="0.35">
      <c r="A70" t="s">
        <v>506</v>
      </c>
      <c r="B70" t="s">
        <v>293</v>
      </c>
      <c r="C70" t="s">
        <v>434</v>
      </c>
      <c r="D70" t="s">
        <v>432</v>
      </c>
      <c r="E70">
        <v>3388.87</v>
      </c>
      <c r="F70" s="1">
        <v>45014</v>
      </c>
    </row>
    <row r="71" spans="1:6" x14ac:dyDescent="0.35">
      <c r="A71" t="s">
        <v>507</v>
      </c>
      <c r="B71" t="s">
        <v>294</v>
      </c>
      <c r="C71" t="s">
        <v>434</v>
      </c>
      <c r="D71" t="s">
        <v>432</v>
      </c>
      <c r="E71">
        <v>3231.92</v>
      </c>
      <c r="F71" s="1">
        <v>45164</v>
      </c>
    </row>
    <row r="72" spans="1:6" x14ac:dyDescent="0.35">
      <c r="A72" t="s">
        <v>508</v>
      </c>
      <c r="B72" t="s">
        <v>295</v>
      </c>
      <c r="C72" t="s">
        <v>440</v>
      </c>
      <c r="D72" t="s">
        <v>435</v>
      </c>
      <c r="E72">
        <v>2960.14</v>
      </c>
      <c r="F72" s="1">
        <v>44952</v>
      </c>
    </row>
    <row r="73" spans="1:6" x14ac:dyDescent="0.35">
      <c r="A73" t="s">
        <v>509</v>
      </c>
      <c r="B73" t="s">
        <v>296</v>
      </c>
      <c r="C73" t="s">
        <v>440</v>
      </c>
      <c r="D73" t="s">
        <v>435</v>
      </c>
      <c r="E73">
        <v>1543.76</v>
      </c>
      <c r="F73" s="1">
        <v>45089</v>
      </c>
    </row>
    <row r="74" spans="1:6" x14ac:dyDescent="0.35">
      <c r="A74" t="s">
        <v>510</v>
      </c>
      <c r="B74" t="s">
        <v>297</v>
      </c>
      <c r="C74" t="s">
        <v>431</v>
      </c>
      <c r="D74" t="s">
        <v>437</v>
      </c>
      <c r="E74">
        <v>2259.08</v>
      </c>
      <c r="F74" s="1">
        <v>45284</v>
      </c>
    </row>
    <row r="75" spans="1:6" x14ac:dyDescent="0.35">
      <c r="A75" t="s">
        <v>511</v>
      </c>
      <c r="B75" t="s">
        <v>298</v>
      </c>
      <c r="C75" t="s">
        <v>440</v>
      </c>
      <c r="D75" t="s">
        <v>435</v>
      </c>
      <c r="E75">
        <v>3175.14</v>
      </c>
      <c r="F75" s="1">
        <v>45130</v>
      </c>
    </row>
    <row r="76" spans="1:6" x14ac:dyDescent="0.35">
      <c r="A76" t="s">
        <v>512</v>
      </c>
      <c r="B76" t="s">
        <v>299</v>
      </c>
      <c r="C76" t="s">
        <v>431</v>
      </c>
      <c r="D76" t="s">
        <v>437</v>
      </c>
      <c r="E76">
        <v>2735.45</v>
      </c>
      <c r="F76" s="1">
        <v>45054</v>
      </c>
    </row>
    <row r="77" spans="1:6" x14ac:dyDescent="0.35">
      <c r="A77" t="s">
        <v>513</v>
      </c>
      <c r="B77" t="s">
        <v>300</v>
      </c>
      <c r="C77" t="s">
        <v>431</v>
      </c>
      <c r="D77" t="s">
        <v>437</v>
      </c>
      <c r="E77">
        <v>4945.03</v>
      </c>
      <c r="F77" s="1">
        <v>45257</v>
      </c>
    </row>
    <row r="78" spans="1:6" x14ac:dyDescent="0.35">
      <c r="A78" t="s">
        <v>514</v>
      </c>
      <c r="B78" t="s">
        <v>301</v>
      </c>
      <c r="C78" t="s">
        <v>440</v>
      </c>
      <c r="D78" t="s">
        <v>432</v>
      </c>
      <c r="E78">
        <v>1113.98</v>
      </c>
      <c r="F78" s="1">
        <v>45274</v>
      </c>
    </row>
    <row r="79" spans="1:6" x14ac:dyDescent="0.35">
      <c r="A79" t="s">
        <v>515</v>
      </c>
      <c r="B79" t="s">
        <v>302</v>
      </c>
      <c r="C79" t="s">
        <v>456</v>
      </c>
      <c r="D79" t="s">
        <v>432</v>
      </c>
      <c r="E79">
        <v>3628.15</v>
      </c>
      <c r="F79" s="1">
        <v>45186</v>
      </c>
    </row>
    <row r="80" spans="1:6" x14ac:dyDescent="0.35">
      <c r="A80" t="s">
        <v>516</v>
      </c>
      <c r="B80" t="s">
        <v>303</v>
      </c>
      <c r="C80" t="s">
        <v>456</v>
      </c>
      <c r="D80" t="s">
        <v>432</v>
      </c>
      <c r="E80">
        <v>2319.4299999999998</v>
      </c>
      <c r="F80" s="1">
        <v>45286</v>
      </c>
    </row>
    <row r="81" spans="1:6" x14ac:dyDescent="0.35">
      <c r="A81" t="s">
        <v>517</v>
      </c>
      <c r="B81" t="s">
        <v>304</v>
      </c>
      <c r="C81" t="s">
        <v>431</v>
      </c>
      <c r="D81" t="s">
        <v>432</v>
      </c>
      <c r="E81">
        <v>2426.9</v>
      </c>
      <c r="F81" s="1">
        <v>45103</v>
      </c>
    </row>
    <row r="82" spans="1:6" x14ac:dyDescent="0.35">
      <c r="A82" t="s">
        <v>518</v>
      </c>
      <c r="B82" t="s">
        <v>305</v>
      </c>
      <c r="C82" t="s">
        <v>440</v>
      </c>
      <c r="D82" t="s">
        <v>435</v>
      </c>
      <c r="E82">
        <v>3729.19</v>
      </c>
      <c r="F82" s="1">
        <v>44932</v>
      </c>
    </row>
    <row r="83" spans="1:6" x14ac:dyDescent="0.35">
      <c r="A83" t="s">
        <v>519</v>
      </c>
      <c r="B83" t="s">
        <v>306</v>
      </c>
      <c r="C83" t="s">
        <v>456</v>
      </c>
      <c r="D83" t="s">
        <v>432</v>
      </c>
      <c r="E83">
        <v>3615.96</v>
      </c>
      <c r="F83" s="1">
        <v>44946</v>
      </c>
    </row>
    <row r="84" spans="1:6" x14ac:dyDescent="0.35">
      <c r="A84" t="s">
        <v>520</v>
      </c>
      <c r="B84" t="s">
        <v>307</v>
      </c>
      <c r="C84" t="s">
        <v>440</v>
      </c>
      <c r="D84" t="s">
        <v>435</v>
      </c>
      <c r="E84">
        <v>4960.6499999999996</v>
      </c>
      <c r="F84" s="1">
        <v>45237</v>
      </c>
    </row>
    <row r="85" spans="1:6" x14ac:dyDescent="0.35">
      <c r="A85" t="s">
        <v>521</v>
      </c>
      <c r="B85" t="s">
        <v>308</v>
      </c>
      <c r="C85" t="s">
        <v>440</v>
      </c>
      <c r="D85" t="s">
        <v>432</v>
      </c>
      <c r="E85">
        <v>1077.77</v>
      </c>
      <c r="F85" s="1">
        <v>45077</v>
      </c>
    </row>
    <row r="86" spans="1:6" x14ac:dyDescent="0.35">
      <c r="A86" t="s">
        <v>522</v>
      </c>
      <c r="B86" t="s">
        <v>309</v>
      </c>
      <c r="C86" t="s">
        <v>440</v>
      </c>
      <c r="D86" t="s">
        <v>435</v>
      </c>
      <c r="E86">
        <v>968.49</v>
      </c>
      <c r="F86" s="1">
        <v>44975</v>
      </c>
    </row>
    <row r="87" spans="1:6" x14ac:dyDescent="0.35">
      <c r="A87" t="s">
        <v>523</v>
      </c>
      <c r="B87" t="s">
        <v>310</v>
      </c>
      <c r="C87" t="s">
        <v>444</v>
      </c>
      <c r="D87" t="s">
        <v>437</v>
      </c>
      <c r="E87">
        <v>3759.52</v>
      </c>
      <c r="F87" s="1">
        <v>45228</v>
      </c>
    </row>
    <row r="88" spans="1:6" x14ac:dyDescent="0.35">
      <c r="A88" t="s">
        <v>524</v>
      </c>
      <c r="B88" t="s">
        <v>311</v>
      </c>
      <c r="C88" t="s">
        <v>440</v>
      </c>
      <c r="D88" t="s">
        <v>435</v>
      </c>
      <c r="E88">
        <v>3102.74</v>
      </c>
      <c r="F88" s="1">
        <v>45218</v>
      </c>
    </row>
    <row r="89" spans="1:6" x14ac:dyDescent="0.35">
      <c r="A89" t="s">
        <v>525</v>
      </c>
      <c r="B89" t="s">
        <v>312</v>
      </c>
      <c r="C89" t="s">
        <v>444</v>
      </c>
      <c r="D89" t="s">
        <v>435</v>
      </c>
      <c r="E89">
        <v>1733.72</v>
      </c>
      <c r="F89" s="1">
        <v>45048</v>
      </c>
    </row>
    <row r="90" spans="1:6" x14ac:dyDescent="0.35">
      <c r="A90" t="s">
        <v>526</v>
      </c>
      <c r="B90" t="s">
        <v>313</v>
      </c>
      <c r="C90" t="s">
        <v>431</v>
      </c>
      <c r="D90" t="s">
        <v>432</v>
      </c>
      <c r="E90">
        <v>857.39</v>
      </c>
      <c r="F90" s="1">
        <v>44971</v>
      </c>
    </row>
    <row r="91" spans="1:6" x14ac:dyDescent="0.35">
      <c r="A91" t="s">
        <v>527</v>
      </c>
      <c r="B91" t="s">
        <v>314</v>
      </c>
      <c r="C91" t="s">
        <v>456</v>
      </c>
      <c r="D91" t="s">
        <v>435</v>
      </c>
      <c r="E91">
        <v>885.46</v>
      </c>
      <c r="F91" s="1">
        <v>45078</v>
      </c>
    </row>
    <row r="92" spans="1:6" x14ac:dyDescent="0.35">
      <c r="A92" t="s">
        <v>528</v>
      </c>
      <c r="B92" t="s">
        <v>315</v>
      </c>
      <c r="C92" t="s">
        <v>456</v>
      </c>
      <c r="D92" t="s">
        <v>437</v>
      </c>
      <c r="E92">
        <v>4523.8599999999997</v>
      </c>
      <c r="F92" s="1">
        <v>45088</v>
      </c>
    </row>
    <row r="93" spans="1:6" x14ac:dyDescent="0.35">
      <c r="A93" t="s">
        <v>529</v>
      </c>
      <c r="B93" t="s">
        <v>316</v>
      </c>
      <c r="C93" t="s">
        <v>456</v>
      </c>
      <c r="D93" t="s">
        <v>437</v>
      </c>
      <c r="E93">
        <v>1363.4</v>
      </c>
      <c r="F93" s="1">
        <v>44956</v>
      </c>
    </row>
    <row r="94" spans="1:6" x14ac:dyDescent="0.35">
      <c r="A94" t="s">
        <v>530</v>
      </c>
      <c r="B94" t="s">
        <v>317</v>
      </c>
      <c r="C94" t="s">
        <v>456</v>
      </c>
      <c r="D94" t="s">
        <v>432</v>
      </c>
      <c r="E94">
        <v>1955.17</v>
      </c>
      <c r="F94" s="1">
        <v>45025</v>
      </c>
    </row>
    <row r="95" spans="1:6" x14ac:dyDescent="0.35">
      <c r="A95" t="s">
        <v>531</v>
      </c>
      <c r="B95" t="s">
        <v>318</v>
      </c>
      <c r="C95" t="s">
        <v>456</v>
      </c>
      <c r="D95" t="s">
        <v>437</v>
      </c>
      <c r="E95">
        <v>1519.95</v>
      </c>
      <c r="F95" s="1">
        <v>45024</v>
      </c>
    </row>
    <row r="96" spans="1:6" x14ac:dyDescent="0.35">
      <c r="A96" t="s">
        <v>532</v>
      </c>
      <c r="B96" t="s">
        <v>319</v>
      </c>
      <c r="C96" t="s">
        <v>456</v>
      </c>
      <c r="D96" t="s">
        <v>435</v>
      </c>
      <c r="E96">
        <v>2097.48</v>
      </c>
      <c r="F96" s="1">
        <v>45055</v>
      </c>
    </row>
    <row r="97" spans="1:6" x14ac:dyDescent="0.35">
      <c r="A97" t="s">
        <v>533</v>
      </c>
      <c r="B97" t="s">
        <v>320</v>
      </c>
      <c r="C97" t="s">
        <v>456</v>
      </c>
      <c r="D97" t="s">
        <v>437</v>
      </c>
      <c r="E97">
        <v>812.41</v>
      </c>
      <c r="F97" s="1">
        <v>45114</v>
      </c>
    </row>
    <row r="98" spans="1:6" x14ac:dyDescent="0.35">
      <c r="A98" t="s">
        <v>534</v>
      </c>
      <c r="B98" t="s">
        <v>321</v>
      </c>
      <c r="C98" t="s">
        <v>431</v>
      </c>
      <c r="D98" t="s">
        <v>432</v>
      </c>
      <c r="E98">
        <v>2835.77</v>
      </c>
      <c r="F98" s="1">
        <v>45052</v>
      </c>
    </row>
    <row r="99" spans="1:6" x14ac:dyDescent="0.35">
      <c r="A99" t="s">
        <v>535</v>
      </c>
      <c r="B99" t="s">
        <v>322</v>
      </c>
      <c r="C99" t="s">
        <v>440</v>
      </c>
      <c r="D99" t="s">
        <v>435</v>
      </c>
      <c r="E99">
        <v>804.26</v>
      </c>
      <c r="F99" s="1">
        <v>45002</v>
      </c>
    </row>
    <row r="100" spans="1:6" x14ac:dyDescent="0.35">
      <c r="A100" t="s">
        <v>536</v>
      </c>
      <c r="B100" t="s">
        <v>323</v>
      </c>
      <c r="C100" t="s">
        <v>434</v>
      </c>
      <c r="D100" t="s">
        <v>432</v>
      </c>
      <c r="E100">
        <v>4101.6000000000004</v>
      </c>
      <c r="F100" s="1">
        <v>45111</v>
      </c>
    </row>
    <row r="101" spans="1:6" x14ac:dyDescent="0.35">
      <c r="A101" t="s">
        <v>537</v>
      </c>
      <c r="B101" t="s">
        <v>324</v>
      </c>
      <c r="C101" t="s">
        <v>444</v>
      </c>
      <c r="D101" t="s">
        <v>435</v>
      </c>
      <c r="E101">
        <v>1551.7</v>
      </c>
      <c r="F101" s="1">
        <v>44987</v>
      </c>
    </row>
    <row r="102" spans="1:6" x14ac:dyDescent="0.35">
      <c r="A102" t="s">
        <v>538</v>
      </c>
      <c r="B102" t="s">
        <v>325</v>
      </c>
      <c r="C102" t="s">
        <v>434</v>
      </c>
      <c r="D102" t="s">
        <v>437</v>
      </c>
      <c r="E102">
        <v>2930.05</v>
      </c>
      <c r="F102" s="1">
        <v>45190</v>
      </c>
    </row>
    <row r="103" spans="1:6" x14ac:dyDescent="0.35">
      <c r="A103" t="s">
        <v>539</v>
      </c>
      <c r="B103" t="s">
        <v>326</v>
      </c>
      <c r="C103" t="s">
        <v>434</v>
      </c>
      <c r="D103" t="s">
        <v>432</v>
      </c>
      <c r="E103">
        <v>4460.3599999999997</v>
      </c>
      <c r="F103" s="1">
        <v>45224</v>
      </c>
    </row>
    <row r="104" spans="1:6" x14ac:dyDescent="0.35">
      <c r="A104" t="s">
        <v>540</v>
      </c>
      <c r="B104" t="s">
        <v>327</v>
      </c>
      <c r="C104" t="s">
        <v>440</v>
      </c>
      <c r="D104" t="s">
        <v>432</v>
      </c>
      <c r="E104">
        <v>3428.95</v>
      </c>
      <c r="F104" s="1">
        <v>44950</v>
      </c>
    </row>
    <row r="105" spans="1:6" x14ac:dyDescent="0.35">
      <c r="A105" t="s">
        <v>541</v>
      </c>
      <c r="B105" t="s">
        <v>328</v>
      </c>
      <c r="C105" t="s">
        <v>440</v>
      </c>
      <c r="D105" t="s">
        <v>435</v>
      </c>
      <c r="E105">
        <v>2898.31</v>
      </c>
      <c r="F105" s="1">
        <v>45034</v>
      </c>
    </row>
    <row r="106" spans="1:6" x14ac:dyDescent="0.35">
      <c r="A106" t="s">
        <v>542</v>
      </c>
      <c r="B106" t="s">
        <v>329</v>
      </c>
      <c r="C106" t="s">
        <v>440</v>
      </c>
      <c r="D106" t="s">
        <v>432</v>
      </c>
      <c r="E106">
        <v>1959.5</v>
      </c>
      <c r="F106" s="1">
        <v>45152</v>
      </c>
    </row>
    <row r="107" spans="1:6" x14ac:dyDescent="0.35">
      <c r="A107" t="s">
        <v>543</v>
      </c>
      <c r="B107" t="s">
        <v>330</v>
      </c>
      <c r="C107" t="s">
        <v>456</v>
      </c>
      <c r="D107" t="s">
        <v>435</v>
      </c>
      <c r="E107">
        <v>1998.51</v>
      </c>
      <c r="F107" s="1">
        <v>45228</v>
      </c>
    </row>
    <row r="108" spans="1:6" x14ac:dyDescent="0.35">
      <c r="A108" t="s">
        <v>544</v>
      </c>
      <c r="B108" t="s">
        <v>331</v>
      </c>
      <c r="C108" t="s">
        <v>431</v>
      </c>
      <c r="D108" t="s">
        <v>435</v>
      </c>
      <c r="E108">
        <v>3512.69</v>
      </c>
      <c r="F108" s="1">
        <v>45033</v>
      </c>
    </row>
    <row r="109" spans="1:6" x14ac:dyDescent="0.35">
      <c r="A109" t="s">
        <v>545</v>
      </c>
      <c r="B109" t="s">
        <v>332</v>
      </c>
      <c r="C109" t="s">
        <v>456</v>
      </c>
      <c r="D109" t="s">
        <v>435</v>
      </c>
      <c r="E109">
        <v>4973.63</v>
      </c>
      <c r="F109" s="1">
        <v>45037</v>
      </c>
    </row>
    <row r="110" spans="1:6" x14ac:dyDescent="0.35">
      <c r="A110" t="s">
        <v>546</v>
      </c>
      <c r="B110" t="s">
        <v>333</v>
      </c>
      <c r="C110" t="s">
        <v>431</v>
      </c>
      <c r="D110" t="s">
        <v>435</v>
      </c>
      <c r="E110">
        <v>3478.28</v>
      </c>
      <c r="F110" s="1">
        <v>45136</v>
      </c>
    </row>
    <row r="111" spans="1:6" x14ac:dyDescent="0.35">
      <c r="A111" t="s">
        <v>547</v>
      </c>
      <c r="B111" t="s">
        <v>334</v>
      </c>
      <c r="C111" t="s">
        <v>431</v>
      </c>
      <c r="D111" t="s">
        <v>437</v>
      </c>
      <c r="E111">
        <v>3010.03</v>
      </c>
      <c r="F111" s="1">
        <v>45126</v>
      </c>
    </row>
    <row r="112" spans="1:6" x14ac:dyDescent="0.35">
      <c r="A112" t="s">
        <v>548</v>
      </c>
      <c r="B112" t="s">
        <v>335</v>
      </c>
      <c r="C112" t="s">
        <v>434</v>
      </c>
      <c r="D112" t="s">
        <v>435</v>
      </c>
      <c r="E112">
        <v>3787.93</v>
      </c>
      <c r="F112" s="1">
        <v>45068</v>
      </c>
    </row>
    <row r="113" spans="1:6" x14ac:dyDescent="0.35">
      <c r="A113" t="s">
        <v>549</v>
      </c>
      <c r="B113" t="s">
        <v>336</v>
      </c>
      <c r="C113" t="s">
        <v>434</v>
      </c>
      <c r="D113" t="s">
        <v>432</v>
      </c>
      <c r="E113">
        <v>2593.4299999999998</v>
      </c>
      <c r="F113" s="1">
        <v>44937</v>
      </c>
    </row>
    <row r="114" spans="1:6" x14ac:dyDescent="0.35">
      <c r="A114" t="s">
        <v>550</v>
      </c>
      <c r="B114" t="s">
        <v>337</v>
      </c>
      <c r="C114" t="s">
        <v>431</v>
      </c>
      <c r="D114" t="s">
        <v>437</v>
      </c>
      <c r="E114">
        <v>770.64</v>
      </c>
      <c r="F114" s="1">
        <v>45254</v>
      </c>
    </row>
    <row r="115" spans="1:6" x14ac:dyDescent="0.35">
      <c r="A115" t="s">
        <v>551</v>
      </c>
      <c r="B115" t="s">
        <v>338</v>
      </c>
      <c r="C115" t="s">
        <v>431</v>
      </c>
      <c r="D115" t="s">
        <v>432</v>
      </c>
      <c r="E115">
        <v>3030.34</v>
      </c>
      <c r="F115" s="1">
        <v>45146</v>
      </c>
    </row>
    <row r="116" spans="1:6" x14ac:dyDescent="0.35">
      <c r="A116" t="s">
        <v>552</v>
      </c>
      <c r="B116" t="s">
        <v>339</v>
      </c>
      <c r="C116" t="s">
        <v>456</v>
      </c>
      <c r="D116" t="s">
        <v>437</v>
      </c>
      <c r="E116">
        <v>4809.3100000000004</v>
      </c>
      <c r="F116" s="1">
        <v>45224</v>
      </c>
    </row>
    <row r="117" spans="1:6" x14ac:dyDescent="0.35">
      <c r="A117" t="s">
        <v>553</v>
      </c>
      <c r="B117" t="s">
        <v>340</v>
      </c>
      <c r="C117" t="s">
        <v>456</v>
      </c>
      <c r="D117" t="s">
        <v>435</v>
      </c>
      <c r="E117">
        <v>1288.8599999999999</v>
      </c>
      <c r="F117" s="1">
        <v>45114</v>
      </c>
    </row>
    <row r="118" spans="1:6" x14ac:dyDescent="0.35">
      <c r="A118" t="s">
        <v>554</v>
      </c>
      <c r="B118" t="s">
        <v>341</v>
      </c>
      <c r="C118" t="s">
        <v>434</v>
      </c>
      <c r="D118" t="s">
        <v>437</v>
      </c>
      <c r="E118">
        <v>3605.02</v>
      </c>
      <c r="F118" s="1">
        <v>45097</v>
      </c>
    </row>
    <row r="119" spans="1:6" x14ac:dyDescent="0.35">
      <c r="A119" t="s">
        <v>555</v>
      </c>
      <c r="B119" t="s">
        <v>342</v>
      </c>
      <c r="C119" t="s">
        <v>440</v>
      </c>
      <c r="D119" t="s">
        <v>437</v>
      </c>
      <c r="E119">
        <v>1404.2</v>
      </c>
      <c r="F119" s="1">
        <v>45147</v>
      </c>
    </row>
    <row r="120" spans="1:6" x14ac:dyDescent="0.35">
      <c r="A120" t="s">
        <v>556</v>
      </c>
      <c r="B120" t="s">
        <v>343</v>
      </c>
      <c r="C120" t="s">
        <v>431</v>
      </c>
      <c r="D120" t="s">
        <v>432</v>
      </c>
      <c r="E120">
        <v>2911.22</v>
      </c>
      <c r="F120" s="1">
        <v>45278</v>
      </c>
    </row>
    <row r="121" spans="1:6" x14ac:dyDescent="0.35">
      <c r="A121" t="s">
        <v>557</v>
      </c>
      <c r="B121" t="s">
        <v>344</v>
      </c>
      <c r="C121" t="s">
        <v>456</v>
      </c>
      <c r="D121" t="s">
        <v>432</v>
      </c>
      <c r="E121">
        <v>935.04</v>
      </c>
      <c r="F121" s="1">
        <v>45268</v>
      </c>
    </row>
    <row r="122" spans="1:6" x14ac:dyDescent="0.35">
      <c r="A122" t="s">
        <v>558</v>
      </c>
      <c r="B122" t="s">
        <v>345</v>
      </c>
      <c r="C122" t="s">
        <v>434</v>
      </c>
      <c r="D122" t="s">
        <v>435</v>
      </c>
      <c r="E122">
        <v>2526.67</v>
      </c>
      <c r="F122" s="1">
        <v>45023</v>
      </c>
    </row>
    <row r="123" spans="1:6" x14ac:dyDescent="0.35">
      <c r="A123" t="s">
        <v>559</v>
      </c>
      <c r="B123" t="s">
        <v>346</v>
      </c>
      <c r="C123" t="s">
        <v>456</v>
      </c>
      <c r="D123" t="s">
        <v>437</v>
      </c>
      <c r="E123">
        <v>3902.73</v>
      </c>
      <c r="F123" s="1">
        <v>45118</v>
      </c>
    </row>
    <row r="124" spans="1:6" x14ac:dyDescent="0.35">
      <c r="A124" t="s">
        <v>560</v>
      </c>
      <c r="B124" t="s">
        <v>347</v>
      </c>
      <c r="C124" t="s">
        <v>431</v>
      </c>
      <c r="D124" t="s">
        <v>437</v>
      </c>
      <c r="E124">
        <v>2064.0700000000002</v>
      </c>
      <c r="F124" s="1">
        <v>44985</v>
      </c>
    </row>
    <row r="125" spans="1:6" x14ac:dyDescent="0.35">
      <c r="A125" t="s">
        <v>561</v>
      </c>
      <c r="B125" t="s">
        <v>348</v>
      </c>
      <c r="C125" t="s">
        <v>431</v>
      </c>
      <c r="D125" t="s">
        <v>437</v>
      </c>
      <c r="E125">
        <v>3492.1</v>
      </c>
      <c r="F125" s="1">
        <v>45001</v>
      </c>
    </row>
    <row r="126" spans="1:6" x14ac:dyDescent="0.35">
      <c r="A126" t="s">
        <v>562</v>
      </c>
      <c r="B126" t="s">
        <v>349</v>
      </c>
      <c r="C126" t="s">
        <v>444</v>
      </c>
      <c r="D126" t="s">
        <v>435</v>
      </c>
      <c r="E126">
        <v>4079.52</v>
      </c>
      <c r="F126" s="1">
        <v>44975</v>
      </c>
    </row>
    <row r="127" spans="1:6" x14ac:dyDescent="0.35">
      <c r="A127" t="s">
        <v>563</v>
      </c>
      <c r="B127" t="s">
        <v>350</v>
      </c>
      <c r="C127" t="s">
        <v>440</v>
      </c>
      <c r="D127" t="s">
        <v>435</v>
      </c>
      <c r="E127">
        <v>4672.3</v>
      </c>
      <c r="F127" s="1">
        <v>45232</v>
      </c>
    </row>
    <row r="128" spans="1:6" x14ac:dyDescent="0.35">
      <c r="A128" t="s">
        <v>564</v>
      </c>
      <c r="B128" t="s">
        <v>351</v>
      </c>
      <c r="C128" t="s">
        <v>444</v>
      </c>
      <c r="D128" t="s">
        <v>435</v>
      </c>
      <c r="E128">
        <v>1555.89</v>
      </c>
      <c r="F128" s="1">
        <v>45243</v>
      </c>
    </row>
    <row r="129" spans="1:6" x14ac:dyDescent="0.35">
      <c r="A129" t="s">
        <v>565</v>
      </c>
      <c r="B129" t="s">
        <v>352</v>
      </c>
      <c r="C129" t="s">
        <v>434</v>
      </c>
      <c r="D129" t="s">
        <v>435</v>
      </c>
      <c r="E129">
        <v>2296.92</v>
      </c>
      <c r="F129" s="1">
        <v>45031</v>
      </c>
    </row>
    <row r="130" spans="1:6" x14ac:dyDescent="0.35">
      <c r="A130" t="s">
        <v>566</v>
      </c>
      <c r="B130" t="s">
        <v>353</v>
      </c>
      <c r="C130" t="s">
        <v>456</v>
      </c>
      <c r="D130" t="s">
        <v>435</v>
      </c>
      <c r="E130">
        <v>1185.8699999999999</v>
      </c>
      <c r="F130" s="1">
        <v>45163</v>
      </c>
    </row>
    <row r="131" spans="1:6" x14ac:dyDescent="0.35">
      <c r="A131" t="s">
        <v>567</v>
      </c>
      <c r="B131" t="s">
        <v>354</v>
      </c>
      <c r="C131" t="s">
        <v>434</v>
      </c>
      <c r="D131" t="s">
        <v>432</v>
      </c>
      <c r="E131">
        <v>4966.18</v>
      </c>
      <c r="F131" s="1">
        <v>44980</v>
      </c>
    </row>
    <row r="132" spans="1:6" x14ac:dyDescent="0.35">
      <c r="A132" t="s">
        <v>568</v>
      </c>
      <c r="B132" t="s">
        <v>355</v>
      </c>
      <c r="C132" t="s">
        <v>431</v>
      </c>
      <c r="D132" t="s">
        <v>437</v>
      </c>
      <c r="E132">
        <v>4671.5</v>
      </c>
      <c r="F132" s="1">
        <v>45057</v>
      </c>
    </row>
    <row r="133" spans="1:6" x14ac:dyDescent="0.35">
      <c r="A133" t="s">
        <v>569</v>
      </c>
      <c r="B133" t="s">
        <v>356</v>
      </c>
      <c r="C133" t="s">
        <v>444</v>
      </c>
      <c r="D133" t="s">
        <v>437</v>
      </c>
      <c r="E133">
        <v>2929.81</v>
      </c>
      <c r="F133" s="1">
        <v>45133</v>
      </c>
    </row>
    <row r="134" spans="1:6" x14ac:dyDescent="0.35">
      <c r="A134" t="s">
        <v>570</v>
      </c>
      <c r="B134" t="s">
        <v>357</v>
      </c>
      <c r="C134" t="s">
        <v>444</v>
      </c>
      <c r="D134" t="s">
        <v>437</v>
      </c>
      <c r="E134">
        <v>4289.1499999999996</v>
      </c>
      <c r="F134" s="1">
        <v>45008</v>
      </c>
    </row>
    <row r="135" spans="1:6" x14ac:dyDescent="0.35">
      <c r="A135" t="s">
        <v>571</v>
      </c>
      <c r="B135" t="s">
        <v>358</v>
      </c>
      <c r="C135" t="s">
        <v>444</v>
      </c>
      <c r="D135" t="s">
        <v>437</v>
      </c>
      <c r="E135">
        <v>2844.31</v>
      </c>
      <c r="F135" s="1">
        <v>45216</v>
      </c>
    </row>
    <row r="136" spans="1:6" x14ac:dyDescent="0.35">
      <c r="A136" t="s">
        <v>572</v>
      </c>
      <c r="B136" t="s">
        <v>359</v>
      </c>
      <c r="C136" t="s">
        <v>434</v>
      </c>
      <c r="D136" t="s">
        <v>437</v>
      </c>
      <c r="E136">
        <v>3306.14</v>
      </c>
      <c r="F136" s="1">
        <v>45178</v>
      </c>
    </row>
    <row r="137" spans="1:6" x14ac:dyDescent="0.35">
      <c r="A137" t="s">
        <v>573</v>
      </c>
      <c r="B137" t="s">
        <v>360</v>
      </c>
      <c r="C137" t="s">
        <v>431</v>
      </c>
      <c r="D137" t="s">
        <v>437</v>
      </c>
      <c r="E137">
        <v>901.06</v>
      </c>
      <c r="F137" s="1">
        <v>45059</v>
      </c>
    </row>
    <row r="138" spans="1:6" x14ac:dyDescent="0.35">
      <c r="A138" t="s">
        <v>574</v>
      </c>
      <c r="B138" t="s">
        <v>361</v>
      </c>
      <c r="C138" t="s">
        <v>456</v>
      </c>
      <c r="D138" t="s">
        <v>437</v>
      </c>
      <c r="E138">
        <v>3898.72</v>
      </c>
      <c r="F138" s="1">
        <v>45224</v>
      </c>
    </row>
    <row r="139" spans="1:6" x14ac:dyDescent="0.35">
      <c r="A139" t="s">
        <v>575</v>
      </c>
      <c r="B139" t="s">
        <v>362</v>
      </c>
      <c r="C139" t="s">
        <v>456</v>
      </c>
      <c r="D139" t="s">
        <v>437</v>
      </c>
      <c r="E139">
        <v>1074.71</v>
      </c>
      <c r="F139" s="1">
        <v>45286</v>
      </c>
    </row>
    <row r="140" spans="1:6" x14ac:dyDescent="0.35">
      <c r="A140" t="s">
        <v>576</v>
      </c>
      <c r="B140" t="s">
        <v>363</v>
      </c>
      <c r="C140" t="s">
        <v>434</v>
      </c>
      <c r="D140" t="s">
        <v>432</v>
      </c>
      <c r="E140">
        <v>4217.3</v>
      </c>
      <c r="F140" s="1">
        <v>45209</v>
      </c>
    </row>
    <row r="141" spans="1:6" x14ac:dyDescent="0.35">
      <c r="A141" t="s">
        <v>577</v>
      </c>
      <c r="B141" t="s">
        <v>364</v>
      </c>
      <c r="C141" t="s">
        <v>444</v>
      </c>
      <c r="D141" t="s">
        <v>437</v>
      </c>
      <c r="E141">
        <v>4019.13</v>
      </c>
      <c r="F141" s="1">
        <v>44962</v>
      </c>
    </row>
    <row r="142" spans="1:6" x14ac:dyDescent="0.35">
      <c r="A142" t="s">
        <v>578</v>
      </c>
      <c r="B142" t="s">
        <v>365</v>
      </c>
      <c r="C142" t="s">
        <v>440</v>
      </c>
      <c r="D142" t="s">
        <v>432</v>
      </c>
      <c r="E142">
        <v>3689.35</v>
      </c>
      <c r="F142" s="1">
        <v>45092</v>
      </c>
    </row>
    <row r="143" spans="1:6" x14ac:dyDescent="0.35">
      <c r="A143" t="s">
        <v>579</v>
      </c>
      <c r="B143" t="s">
        <v>366</v>
      </c>
      <c r="C143" t="s">
        <v>434</v>
      </c>
      <c r="D143" t="s">
        <v>435</v>
      </c>
      <c r="E143">
        <v>662.72</v>
      </c>
      <c r="F143" s="1">
        <v>45231</v>
      </c>
    </row>
    <row r="144" spans="1:6" x14ac:dyDescent="0.35">
      <c r="A144" t="s">
        <v>580</v>
      </c>
      <c r="B144" t="s">
        <v>367</v>
      </c>
      <c r="C144" t="s">
        <v>434</v>
      </c>
      <c r="D144" t="s">
        <v>437</v>
      </c>
      <c r="E144">
        <v>1864.08</v>
      </c>
      <c r="F144" s="1">
        <v>45190</v>
      </c>
    </row>
    <row r="145" spans="1:6" x14ac:dyDescent="0.35">
      <c r="A145" t="s">
        <v>581</v>
      </c>
      <c r="B145" t="s">
        <v>368</v>
      </c>
      <c r="C145" t="s">
        <v>431</v>
      </c>
      <c r="D145" t="s">
        <v>435</v>
      </c>
      <c r="E145">
        <v>1684.01</v>
      </c>
      <c r="F145" s="1">
        <v>45154</v>
      </c>
    </row>
    <row r="146" spans="1:6" x14ac:dyDescent="0.35">
      <c r="A146" t="s">
        <v>582</v>
      </c>
      <c r="B146" t="s">
        <v>369</v>
      </c>
      <c r="C146" t="s">
        <v>456</v>
      </c>
      <c r="D146" t="s">
        <v>435</v>
      </c>
      <c r="E146">
        <v>2120.61</v>
      </c>
      <c r="F146" s="1">
        <v>45241</v>
      </c>
    </row>
    <row r="147" spans="1:6" x14ac:dyDescent="0.35">
      <c r="A147" t="s">
        <v>583</v>
      </c>
      <c r="B147" t="s">
        <v>370</v>
      </c>
      <c r="C147" t="s">
        <v>434</v>
      </c>
      <c r="D147" t="s">
        <v>435</v>
      </c>
      <c r="E147">
        <v>894.39</v>
      </c>
      <c r="F147" s="1">
        <v>44931</v>
      </c>
    </row>
    <row r="148" spans="1:6" x14ac:dyDescent="0.35">
      <c r="A148" t="s">
        <v>584</v>
      </c>
      <c r="B148" t="s">
        <v>371</v>
      </c>
      <c r="C148" t="s">
        <v>434</v>
      </c>
      <c r="D148" t="s">
        <v>432</v>
      </c>
      <c r="E148">
        <v>4716.3100000000004</v>
      </c>
      <c r="F148" s="1">
        <v>45243</v>
      </c>
    </row>
    <row r="149" spans="1:6" x14ac:dyDescent="0.35">
      <c r="A149" t="s">
        <v>585</v>
      </c>
      <c r="B149" t="s">
        <v>372</v>
      </c>
      <c r="C149" t="s">
        <v>444</v>
      </c>
      <c r="D149" t="s">
        <v>435</v>
      </c>
      <c r="E149">
        <v>2992.11</v>
      </c>
      <c r="F149" s="1">
        <v>45266</v>
      </c>
    </row>
    <row r="150" spans="1:6" x14ac:dyDescent="0.35">
      <c r="A150" t="s">
        <v>586</v>
      </c>
      <c r="B150" t="s">
        <v>373</v>
      </c>
      <c r="C150" t="s">
        <v>444</v>
      </c>
      <c r="D150" t="s">
        <v>435</v>
      </c>
      <c r="E150">
        <v>1874.86</v>
      </c>
      <c r="F150" s="1">
        <v>45133</v>
      </c>
    </row>
    <row r="151" spans="1:6" x14ac:dyDescent="0.35">
      <c r="A151" t="s">
        <v>587</v>
      </c>
      <c r="B151" t="s">
        <v>374</v>
      </c>
      <c r="C151" t="s">
        <v>440</v>
      </c>
      <c r="D151" t="s">
        <v>435</v>
      </c>
      <c r="E151">
        <v>2286.42</v>
      </c>
      <c r="F151" s="1">
        <v>45154</v>
      </c>
    </row>
    <row r="152" spans="1:6" x14ac:dyDescent="0.35">
      <c r="A152" t="s">
        <v>588</v>
      </c>
      <c r="B152" t="s">
        <v>375</v>
      </c>
      <c r="C152" t="s">
        <v>431</v>
      </c>
      <c r="D152" t="s">
        <v>437</v>
      </c>
      <c r="E152">
        <v>2512.41</v>
      </c>
      <c r="F152" s="1">
        <v>44954</v>
      </c>
    </row>
    <row r="153" spans="1:6" x14ac:dyDescent="0.35">
      <c r="A153" t="s">
        <v>589</v>
      </c>
      <c r="B153" t="s">
        <v>376</v>
      </c>
      <c r="C153" t="s">
        <v>440</v>
      </c>
      <c r="D153" t="s">
        <v>437</v>
      </c>
      <c r="E153">
        <v>3202.67</v>
      </c>
      <c r="F153" s="1">
        <v>45030</v>
      </c>
    </row>
    <row r="154" spans="1:6" x14ac:dyDescent="0.35">
      <c r="A154" t="s">
        <v>590</v>
      </c>
      <c r="B154" t="s">
        <v>377</v>
      </c>
      <c r="C154" t="s">
        <v>444</v>
      </c>
      <c r="D154" t="s">
        <v>432</v>
      </c>
      <c r="E154">
        <v>2820.56</v>
      </c>
      <c r="F154" s="1">
        <v>45115</v>
      </c>
    </row>
    <row r="155" spans="1:6" x14ac:dyDescent="0.35">
      <c r="A155" t="s">
        <v>591</v>
      </c>
      <c r="B155" t="s">
        <v>378</v>
      </c>
      <c r="C155" t="s">
        <v>456</v>
      </c>
      <c r="D155" t="s">
        <v>432</v>
      </c>
      <c r="E155">
        <v>4637.26</v>
      </c>
      <c r="F155" s="1">
        <v>44991</v>
      </c>
    </row>
    <row r="156" spans="1:6" x14ac:dyDescent="0.35">
      <c r="A156" t="s">
        <v>592</v>
      </c>
      <c r="B156" t="s">
        <v>379</v>
      </c>
      <c r="C156" t="s">
        <v>444</v>
      </c>
      <c r="D156" t="s">
        <v>437</v>
      </c>
      <c r="E156">
        <v>2736.34</v>
      </c>
      <c r="F156" s="1">
        <v>44929</v>
      </c>
    </row>
    <row r="157" spans="1:6" x14ac:dyDescent="0.35">
      <c r="A157" t="s">
        <v>593</v>
      </c>
      <c r="B157" t="s">
        <v>380</v>
      </c>
      <c r="C157" t="s">
        <v>431</v>
      </c>
      <c r="D157" t="s">
        <v>432</v>
      </c>
      <c r="E157">
        <v>4964.71</v>
      </c>
      <c r="F157" s="1">
        <v>45252</v>
      </c>
    </row>
    <row r="158" spans="1:6" x14ac:dyDescent="0.35">
      <c r="A158" t="s">
        <v>594</v>
      </c>
      <c r="B158" t="s">
        <v>381</v>
      </c>
      <c r="C158" t="s">
        <v>444</v>
      </c>
      <c r="D158" t="s">
        <v>437</v>
      </c>
      <c r="E158">
        <v>4331.41</v>
      </c>
      <c r="F158" s="1">
        <v>45058</v>
      </c>
    </row>
    <row r="159" spans="1:6" x14ac:dyDescent="0.35">
      <c r="A159" t="s">
        <v>595</v>
      </c>
      <c r="B159" t="s">
        <v>382</v>
      </c>
      <c r="C159" t="s">
        <v>431</v>
      </c>
      <c r="D159" t="s">
        <v>435</v>
      </c>
      <c r="E159">
        <v>1438.3</v>
      </c>
      <c r="F159" s="1">
        <v>45119</v>
      </c>
    </row>
    <row r="160" spans="1:6" x14ac:dyDescent="0.35">
      <c r="A160" t="s">
        <v>596</v>
      </c>
      <c r="B160" t="s">
        <v>383</v>
      </c>
      <c r="C160" t="s">
        <v>431</v>
      </c>
      <c r="D160" t="s">
        <v>435</v>
      </c>
      <c r="E160">
        <v>4687.68</v>
      </c>
      <c r="F160" s="1">
        <v>45024</v>
      </c>
    </row>
    <row r="161" spans="1:6" x14ac:dyDescent="0.35">
      <c r="A161" t="s">
        <v>597</v>
      </c>
      <c r="B161" t="s">
        <v>384</v>
      </c>
      <c r="C161" t="s">
        <v>431</v>
      </c>
      <c r="D161" t="s">
        <v>432</v>
      </c>
      <c r="E161">
        <v>1023.65</v>
      </c>
      <c r="F161" s="1">
        <v>45277</v>
      </c>
    </row>
    <row r="162" spans="1:6" x14ac:dyDescent="0.35">
      <c r="A162" t="s">
        <v>598</v>
      </c>
      <c r="B162" t="s">
        <v>385</v>
      </c>
      <c r="C162" t="s">
        <v>431</v>
      </c>
      <c r="D162" t="s">
        <v>437</v>
      </c>
      <c r="E162">
        <v>4178.5200000000004</v>
      </c>
      <c r="F162" s="1">
        <v>45094</v>
      </c>
    </row>
    <row r="163" spans="1:6" x14ac:dyDescent="0.35">
      <c r="A163" t="s">
        <v>599</v>
      </c>
      <c r="B163" t="s">
        <v>386</v>
      </c>
      <c r="C163" t="s">
        <v>431</v>
      </c>
      <c r="D163" t="s">
        <v>437</v>
      </c>
      <c r="E163">
        <v>2212.8000000000002</v>
      </c>
      <c r="F163" s="1">
        <v>44927</v>
      </c>
    </row>
    <row r="164" spans="1:6" x14ac:dyDescent="0.35">
      <c r="A164" t="s">
        <v>600</v>
      </c>
      <c r="B164" t="s">
        <v>387</v>
      </c>
      <c r="C164" t="s">
        <v>456</v>
      </c>
      <c r="D164" t="s">
        <v>432</v>
      </c>
      <c r="E164">
        <v>4450.88</v>
      </c>
      <c r="F164" s="1">
        <v>45104</v>
      </c>
    </row>
    <row r="165" spans="1:6" x14ac:dyDescent="0.35">
      <c r="A165" t="s">
        <v>601</v>
      </c>
      <c r="B165" t="s">
        <v>388</v>
      </c>
      <c r="C165" t="s">
        <v>440</v>
      </c>
      <c r="D165" t="s">
        <v>437</v>
      </c>
      <c r="E165">
        <v>4406.26</v>
      </c>
      <c r="F165" s="1">
        <v>45135</v>
      </c>
    </row>
    <row r="166" spans="1:6" x14ac:dyDescent="0.35">
      <c r="A166" t="s">
        <v>602</v>
      </c>
      <c r="B166" t="s">
        <v>389</v>
      </c>
      <c r="C166" t="s">
        <v>434</v>
      </c>
      <c r="D166" t="s">
        <v>435</v>
      </c>
      <c r="E166">
        <v>4126.66</v>
      </c>
      <c r="F166" s="1">
        <v>45020</v>
      </c>
    </row>
    <row r="167" spans="1:6" x14ac:dyDescent="0.35">
      <c r="A167" t="s">
        <v>603</v>
      </c>
      <c r="B167" t="s">
        <v>390</v>
      </c>
      <c r="C167" t="s">
        <v>440</v>
      </c>
      <c r="D167" t="s">
        <v>432</v>
      </c>
      <c r="E167">
        <v>4055.14</v>
      </c>
      <c r="F167" s="1">
        <v>44938</v>
      </c>
    </row>
    <row r="168" spans="1:6" x14ac:dyDescent="0.35">
      <c r="A168" t="s">
        <v>604</v>
      </c>
      <c r="B168" t="s">
        <v>391</v>
      </c>
      <c r="C168" t="s">
        <v>431</v>
      </c>
      <c r="D168" t="s">
        <v>432</v>
      </c>
      <c r="E168">
        <v>1871.06</v>
      </c>
      <c r="F168" s="1">
        <v>45245</v>
      </c>
    </row>
    <row r="169" spans="1:6" x14ac:dyDescent="0.35">
      <c r="A169" t="s">
        <v>605</v>
      </c>
      <c r="B169" t="s">
        <v>392</v>
      </c>
      <c r="C169" t="s">
        <v>456</v>
      </c>
      <c r="D169" t="s">
        <v>437</v>
      </c>
      <c r="E169">
        <v>864.14</v>
      </c>
      <c r="F169" s="1">
        <v>45198</v>
      </c>
    </row>
    <row r="170" spans="1:6" x14ac:dyDescent="0.35">
      <c r="A170" t="s">
        <v>606</v>
      </c>
      <c r="B170" t="s">
        <v>393</v>
      </c>
      <c r="C170" t="s">
        <v>444</v>
      </c>
      <c r="D170" t="s">
        <v>432</v>
      </c>
      <c r="E170">
        <v>2313.41</v>
      </c>
      <c r="F170" s="1">
        <v>45131</v>
      </c>
    </row>
    <row r="171" spans="1:6" x14ac:dyDescent="0.35">
      <c r="A171" t="s">
        <v>607</v>
      </c>
      <c r="B171" t="s">
        <v>394</v>
      </c>
      <c r="C171" t="s">
        <v>456</v>
      </c>
      <c r="D171" t="s">
        <v>437</v>
      </c>
      <c r="E171">
        <v>1280.8599999999999</v>
      </c>
      <c r="F171" s="1">
        <v>44988</v>
      </c>
    </row>
    <row r="172" spans="1:6" x14ac:dyDescent="0.35">
      <c r="A172" t="s">
        <v>608</v>
      </c>
      <c r="B172" t="s">
        <v>395</v>
      </c>
      <c r="C172" t="s">
        <v>431</v>
      </c>
      <c r="D172" t="s">
        <v>437</v>
      </c>
      <c r="E172">
        <v>3627.28</v>
      </c>
      <c r="F172" s="1">
        <v>45034</v>
      </c>
    </row>
    <row r="173" spans="1:6" x14ac:dyDescent="0.35">
      <c r="A173" t="s">
        <v>609</v>
      </c>
      <c r="B173" t="s">
        <v>396</v>
      </c>
      <c r="C173" t="s">
        <v>456</v>
      </c>
      <c r="D173" t="s">
        <v>437</v>
      </c>
      <c r="E173">
        <v>2057.4499999999998</v>
      </c>
      <c r="F173" s="1">
        <v>44994</v>
      </c>
    </row>
    <row r="174" spans="1:6" x14ac:dyDescent="0.35">
      <c r="A174" t="s">
        <v>610</v>
      </c>
      <c r="B174" t="s">
        <v>397</v>
      </c>
      <c r="C174" t="s">
        <v>456</v>
      </c>
      <c r="D174" t="s">
        <v>437</v>
      </c>
      <c r="E174">
        <v>4890.25</v>
      </c>
      <c r="F174" s="1">
        <v>45081</v>
      </c>
    </row>
    <row r="175" spans="1:6" x14ac:dyDescent="0.35">
      <c r="A175" t="s">
        <v>611</v>
      </c>
      <c r="B175" t="s">
        <v>398</v>
      </c>
      <c r="C175" t="s">
        <v>431</v>
      </c>
      <c r="D175" t="s">
        <v>437</v>
      </c>
      <c r="E175">
        <v>3384.37</v>
      </c>
      <c r="F175" s="1">
        <v>45230</v>
      </c>
    </row>
    <row r="176" spans="1:6" x14ac:dyDescent="0.35">
      <c r="A176" t="s">
        <v>612</v>
      </c>
      <c r="B176" t="s">
        <v>399</v>
      </c>
      <c r="C176" t="s">
        <v>456</v>
      </c>
      <c r="D176" t="s">
        <v>432</v>
      </c>
      <c r="E176">
        <v>4201.16</v>
      </c>
      <c r="F176" s="1">
        <v>45221</v>
      </c>
    </row>
    <row r="177" spans="1:6" x14ac:dyDescent="0.35">
      <c r="A177" t="s">
        <v>613</v>
      </c>
      <c r="B177" t="s">
        <v>400</v>
      </c>
      <c r="C177" t="s">
        <v>434</v>
      </c>
      <c r="D177" t="s">
        <v>435</v>
      </c>
      <c r="E177">
        <v>1096.3599999999999</v>
      </c>
      <c r="F177" s="1">
        <v>45042</v>
      </c>
    </row>
    <row r="178" spans="1:6" x14ac:dyDescent="0.35">
      <c r="A178" t="s">
        <v>614</v>
      </c>
      <c r="B178" t="s">
        <v>401</v>
      </c>
      <c r="C178" t="s">
        <v>434</v>
      </c>
      <c r="D178" t="s">
        <v>435</v>
      </c>
      <c r="E178">
        <v>4379.07</v>
      </c>
      <c r="F178" s="1">
        <v>45154</v>
      </c>
    </row>
    <row r="179" spans="1:6" x14ac:dyDescent="0.35">
      <c r="A179" t="s">
        <v>615</v>
      </c>
      <c r="B179" t="s">
        <v>402</v>
      </c>
      <c r="C179" t="s">
        <v>456</v>
      </c>
      <c r="D179" t="s">
        <v>432</v>
      </c>
      <c r="E179">
        <v>4652.41</v>
      </c>
      <c r="F179" s="1">
        <v>44943</v>
      </c>
    </row>
    <row r="180" spans="1:6" x14ac:dyDescent="0.35">
      <c r="A180" t="s">
        <v>616</v>
      </c>
      <c r="B180" t="s">
        <v>403</v>
      </c>
      <c r="C180" t="s">
        <v>444</v>
      </c>
      <c r="D180" t="s">
        <v>432</v>
      </c>
      <c r="E180">
        <v>2691.78</v>
      </c>
      <c r="F180" s="1">
        <v>44993</v>
      </c>
    </row>
    <row r="181" spans="1:6" x14ac:dyDescent="0.35">
      <c r="A181" t="s">
        <v>617</v>
      </c>
      <c r="B181" t="s">
        <v>404</v>
      </c>
      <c r="C181" t="s">
        <v>431</v>
      </c>
      <c r="D181" t="s">
        <v>435</v>
      </c>
      <c r="E181">
        <v>3228.14</v>
      </c>
      <c r="F181" s="1">
        <v>44933</v>
      </c>
    </row>
    <row r="182" spans="1:6" x14ac:dyDescent="0.35">
      <c r="A182" t="s">
        <v>618</v>
      </c>
      <c r="B182" t="s">
        <v>405</v>
      </c>
      <c r="C182" t="s">
        <v>434</v>
      </c>
      <c r="D182" t="s">
        <v>435</v>
      </c>
      <c r="E182">
        <v>3941.64</v>
      </c>
      <c r="F182" s="1">
        <v>45172</v>
      </c>
    </row>
    <row r="183" spans="1:6" x14ac:dyDescent="0.35">
      <c r="A183" t="s">
        <v>619</v>
      </c>
      <c r="B183" t="s">
        <v>406</v>
      </c>
      <c r="C183" t="s">
        <v>444</v>
      </c>
      <c r="D183" t="s">
        <v>435</v>
      </c>
      <c r="E183">
        <v>1286.77</v>
      </c>
      <c r="F183" s="1">
        <v>45028</v>
      </c>
    </row>
    <row r="184" spans="1:6" x14ac:dyDescent="0.35">
      <c r="A184" t="s">
        <v>620</v>
      </c>
      <c r="B184" t="s">
        <v>407</v>
      </c>
      <c r="C184" t="s">
        <v>456</v>
      </c>
      <c r="D184" t="s">
        <v>435</v>
      </c>
      <c r="E184">
        <v>2761.55</v>
      </c>
      <c r="F184" s="1">
        <v>44960</v>
      </c>
    </row>
    <row r="185" spans="1:6" x14ac:dyDescent="0.35">
      <c r="A185" t="s">
        <v>621</v>
      </c>
      <c r="B185" t="s">
        <v>408</v>
      </c>
      <c r="C185" t="s">
        <v>444</v>
      </c>
      <c r="D185" t="s">
        <v>435</v>
      </c>
      <c r="E185">
        <v>2293.98</v>
      </c>
      <c r="F185" s="1">
        <v>44983</v>
      </c>
    </row>
    <row r="186" spans="1:6" x14ac:dyDescent="0.35">
      <c r="A186" t="s">
        <v>622</v>
      </c>
      <c r="B186" t="s">
        <v>409</v>
      </c>
      <c r="C186" t="s">
        <v>440</v>
      </c>
      <c r="D186" t="s">
        <v>437</v>
      </c>
      <c r="E186">
        <v>1158.68</v>
      </c>
      <c r="F186" s="1">
        <v>45006</v>
      </c>
    </row>
    <row r="187" spans="1:6" x14ac:dyDescent="0.35">
      <c r="A187" t="s">
        <v>623</v>
      </c>
      <c r="B187" t="s">
        <v>410</v>
      </c>
      <c r="C187" t="s">
        <v>434</v>
      </c>
      <c r="D187" t="s">
        <v>432</v>
      </c>
      <c r="E187">
        <v>2153.9</v>
      </c>
      <c r="F187" s="1">
        <v>45012</v>
      </c>
    </row>
    <row r="188" spans="1:6" x14ac:dyDescent="0.35">
      <c r="A188" t="s">
        <v>624</v>
      </c>
      <c r="B188" t="s">
        <v>411</v>
      </c>
      <c r="C188" t="s">
        <v>456</v>
      </c>
      <c r="D188" t="s">
        <v>437</v>
      </c>
      <c r="E188">
        <v>806.78</v>
      </c>
      <c r="F188" s="1">
        <v>44970</v>
      </c>
    </row>
    <row r="189" spans="1:6" x14ac:dyDescent="0.35">
      <c r="A189" t="s">
        <v>625</v>
      </c>
      <c r="B189" t="s">
        <v>412</v>
      </c>
      <c r="C189" t="s">
        <v>431</v>
      </c>
      <c r="D189" t="s">
        <v>435</v>
      </c>
      <c r="E189">
        <v>616.15</v>
      </c>
      <c r="F189" s="1">
        <v>45028</v>
      </c>
    </row>
    <row r="190" spans="1:6" x14ac:dyDescent="0.35">
      <c r="A190" t="s">
        <v>626</v>
      </c>
      <c r="B190" t="s">
        <v>413</v>
      </c>
      <c r="C190" t="s">
        <v>456</v>
      </c>
      <c r="D190" t="s">
        <v>435</v>
      </c>
      <c r="E190">
        <v>1108.25</v>
      </c>
      <c r="F190" s="1">
        <v>45204</v>
      </c>
    </row>
    <row r="191" spans="1:6" x14ac:dyDescent="0.35">
      <c r="A191" t="s">
        <v>627</v>
      </c>
      <c r="B191" t="s">
        <v>414</v>
      </c>
      <c r="C191" t="s">
        <v>431</v>
      </c>
      <c r="D191" t="s">
        <v>435</v>
      </c>
      <c r="E191">
        <v>4834.0200000000004</v>
      </c>
      <c r="F191" s="1">
        <v>45246</v>
      </c>
    </row>
    <row r="192" spans="1:6" x14ac:dyDescent="0.35">
      <c r="A192" t="s">
        <v>628</v>
      </c>
      <c r="B192" t="s">
        <v>415</v>
      </c>
      <c r="C192" t="s">
        <v>456</v>
      </c>
      <c r="D192" t="s">
        <v>437</v>
      </c>
      <c r="E192">
        <v>2972.88</v>
      </c>
      <c r="F192" s="1">
        <v>45028</v>
      </c>
    </row>
    <row r="193" spans="1:6" x14ac:dyDescent="0.35">
      <c r="A193" t="s">
        <v>629</v>
      </c>
      <c r="B193" t="s">
        <v>416</v>
      </c>
      <c r="C193" t="s">
        <v>444</v>
      </c>
      <c r="D193" t="s">
        <v>437</v>
      </c>
      <c r="E193">
        <v>4846.2</v>
      </c>
      <c r="F193" s="1">
        <v>45169</v>
      </c>
    </row>
    <row r="194" spans="1:6" x14ac:dyDescent="0.35">
      <c r="A194" t="s">
        <v>630</v>
      </c>
      <c r="B194" t="s">
        <v>417</v>
      </c>
      <c r="C194" t="s">
        <v>444</v>
      </c>
      <c r="D194" t="s">
        <v>435</v>
      </c>
      <c r="E194">
        <v>2446.2399999999998</v>
      </c>
      <c r="F194" s="1">
        <v>45184</v>
      </c>
    </row>
    <row r="195" spans="1:6" x14ac:dyDescent="0.35">
      <c r="A195" t="s">
        <v>631</v>
      </c>
      <c r="B195" t="s">
        <v>418</v>
      </c>
      <c r="C195" t="s">
        <v>444</v>
      </c>
      <c r="D195" t="s">
        <v>437</v>
      </c>
      <c r="E195">
        <v>1903.17</v>
      </c>
      <c r="F195" s="1">
        <v>45022</v>
      </c>
    </row>
    <row r="196" spans="1:6" x14ac:dyDescent="0.35">
      <c r="A196" t="s">
        <v>632</v>
      </c>
      <c r="B196" t="s">
        <v>419</v>
      </c>
      <c r="C196" t="s">
        <v>440</v>
      </c>
      <c r="D196" t="s">
        <v>437</v>
      </c>
      <c r="E196">
        <v>2777.64</v>
      </c>
      <c r="F196" s="1">
        <v>45157</v>
      </c>
    </row>
    <row r="197" spans="1:6" x14ac:dyDescent="0.35">
      <c r="A197" t="s">
        <v>633</v>
      </c>
      <c r="B197" t="s">
        <v>420</v>
      </c>
      <c r="C197" t="s">
        <v>431</v>
      </c>
      <c r="D197" t="s">
        <v>435</v>
      </c>
      <c r="E197">
        <v>2477.8000000000002</v>
      </c>
      <c r="F197" s="1">
        <v>45225</v>
      </c>
    </row>
    <row r="198" spans="1:6" x14ac:dyDescent="0.35">
      <c r="A198" t="s">
        <v>634</v>
      </c>
      <c r="B198" t="s">
        <v>421</v>
      </c>
      <c r="C198" t="s">
        <v>444</v>
      </c>
      <c r="D198" t="s">
        <v>437</v>
      </c>
      <c r="E198">
        <v>975.49</v>
      </c>
      <c r="F198" s="1">
        <v>45017</v>
      </c>
    </row>
    <row r="199" spans="1:6" x14ac:dyDescent="0.35">
      <c r="A199" t="s">
        <v>635</v>
      </c>
      <c r="B199" t="s">
        <v>422</v>
      </c>
      <c r="C199" t="s">
        <v>440</v>
      </c>
      <c r="D199" t="s">
        <v>432</v>
      </c>
      <c r="E199">
        <v>3383.72</v>
      </c>
      <c r="F199" s="1">
        <v>45061</v>
      </c>
    </row>
    <row r="200" spans="1:6" x14ac:dyDescent="0.35">
      <c r="A200" t="s">
        <v>636</v>
      </c>
      <c r="B200" t="s">
        <v>423</v>
      </c>
      <c r="C200" t="s">
        <v>431</v>
      </c>
      <c r="D200" t="s">
        <v>432</v>
      </c>
      <c r="E200">
        <v>1472.17</v>
      </c>
      <c r="F200" s="1">
        <v>45047</v>
      </c>
    </row>
    <row r="201" spans="1:6" x14ac:dyDescent="0.35">
      <c r="A201" t="s">
        <v>637</v>
      </c>
      <c r="B201" t="s">
        <v>424</v>
      </c>
      <c r="C201" t="s">
        <v>456</v>
      </c>
      <c r="D201" t="s">
        <v>432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99A6-1D78-4B4D-9781-C2EF789B192F}">
  <dimension ref="A1:H201"/>
  <sheetViews>
    <sheetView tabSelected="1" workbookViewId="0">
      <selection activeCell="L8" sqref="L8"/>
    </sheetView>
  </sheetViews>
  <sheetFormatPr defaultRowHeight="14.5" x14ac:dyDescent="0.35"/>
  <cols>
    <col min="1" max="1" width="7.81640625" customWidth="1"/>
    <col min="2" max="2" width="11.453125" customWidth="1"/>
    <col min="3" max="3" width="14" customWidth="1"/>
    <col min="4" max="4" width="10.453125" bestFit="1" customWidth="1"/>
    <col min="5" max="5" width="9.453125" customWidth="1"/>
    <col min="6" max="6" width="17.90625" customWidth="1"/>
    <col min="7" max="7" width="16.453125" customWidth="1"/>
    <col min="8" max="8" width="20.08984375" customWidth="1"/>
    <col min="9" max="16" width="10.26953125" customWidth="1"/>
    <col min="17" max="106" width="11.26953125" customWidth="1"/>
    <col min="107" max="1006" width="12.26953125" customWidth="1"/>
    <col min="1007" max="10006" width="13.26953125" customWidth="1"/>
    <col min="10007" max="16383" width="14.26953125" customWidth="1"/>
  </cols>
  <sheetData>
    <row r="1" spans="1:8" x14ac:dyDescent="0.35">
      <c r="A1" t="s">
        <v>638</v>
      </c>
      <c r="B1" t="s">
        <v>0</v>
      </c>
      <c r="C1" t="s">
        <v>425</v>
      </c>
      <c r="D1" t="s">
        <v>639</v>
      </c>
      <c r="E1" t="s">
        <v>640</v>
      </c>
      <c r="F1" t="s">
        <v>641</v>
      </c>
      <c r="G1" t="s">
        <v>642</v>
      </c>
      <c r="H1" t="s">
        <v>850</v>
      </c>
    </row>
    <row r="2" spans="1:8" x14ac:dyDescent="0.35">
      <c r="A2" t="s">
        <v>643</v>
      </c>
      <c r="B2" t="s">
        <v>136</v>
      </c>
      <c r="C2" t="s">
        <v>430</v>
      </c>
      <c r="D2" s="1">
        <v>45147</v>
      </c>
      <c r="E2">
        <v>3941.97</v>
      </c>
      <c r="F2" t="s">
        <v>644</v>
      </c>
      <c r="G2" t="s">
        <v>645</v>
      </c>
      <c r="H2" t="str">
        <f>IF(tblBilling[[#This Row],[amount]]&gt;3000, "High Revenue","Normal")</f>
        <v>High Revenue</v>
      </c>
    </row>
    <row r="3" spans="1:8" x14ac:dyDescent="0.35">
      <c r="A3" t="s">
        <v>646</v>
      </c>
      <c r="B3" t="s">
        <v>132</v>
      </c>
      <c r="C3" t="s">
        <v>433</v>
      </c>
      <c r="D3" s="1">
        <v>45086</v>
      </c>
      <c r="E3">
        <v>4158.4399999999996</v>
      </c>
      <c r="F3" t="s">
        <v>644</v>
      </c>
      <c r="G3" t="s">
        <v>647</v>
      </c>
      <c r="H3" t="str">
        <f>IF(tblBilling[[#This Row],[amount]]&gt;3000, "High Revenue","Normal")</f>
        <v>High Revenue</v>
      </c>
    </row>
    <row r="4" spans="1:8" x14ac:dyDescent="0.35">
      <c r="A4" t="s">
        <v>648</v>
      </c>
      <c r="B4" t="s">
        <v>172</v>
      </c>
      <c r="C4" t="s">
        <v>436</v>
      </c>
      <c r="D4" s="1">
        <v>45105</v>
      </c>
      <c r="E4">
        <v>3731.55</v>
      </c>
      <c r="F4" t="s">
        <v>644</v>
      </c>
      <c r="G4" t="s">
        <v>647</v>
      </c>
      <c r="H4" t="str">
        <f>IF(tblBilling[[#This Row],[amount]]&gt;3000, "High Revenue","Normal")</f>
        <v>High Revenue</v>
      </c>
    </row>
    <row r="5" spans="1:8" x14ac:dyDescent="0.35">
      <c r="A5" t="s">
        <v>649</v>
      </c>
      <c r="B5" t="s">
        <v>110</v>
      </c>
      <c r="C5" t="s">
        <v>438</v>
      </c>
      <c r="D5" s="1">
        <v>45170</v>
      </c>
      <c r="E5">
        <v>4799.8599999999997</v>
      </c>
      <c r="F5" t="s">
        <v>644</v>
      </c>
      <c r="G5" t="s">
        <v>650</v>
      </c>
      <c r="H5" t="str">
        <f>IF(tblBilling[[#This Row],[amount]]&gt;3000, "High Revenue","Normal")</f>
        <v>High Revenue</v>
      </c>
    </row>
    <row r="6" spans="1:8" x14ac:dyDescent="0.35">
      <c r="A6" t="s">
        <v>651</v>
      </c>
      <c r="B6" t="s">
        <v>151</v>
      </c>
      <c r="C6" t="s">
        <v>439</v>
      </c>
      <c r="D6" s="1">
        <v>45113</v>
      </c>
      <c r="E6">
        <v>582.04999999999995</v>
      </c>
      <c r="F6" t="s">
        <v>652</v>
      </c>
      <c r="G6" t="s">
        <v>645</v>
      </c>
      <c r="H6" t="str">
        <f>IF(tblBilling[[#This Row],[amount]]&gt;3000, "High Revenue","Normal")</f>
        <v>Normal</v>
      </c>
    </row>
    <row r="7" spans="1:8" x14ac:dyDescent="0.35">
      <c r="A7" t="s">
        <v>653</v>
      </c>
      <c r="B7" t="s">
        <v>165</v>
      </c>
      <c r="C7" t="s">
        <v>441</v>
      </c>
      <c r="D7" s="1">
        <v>45096</v>
      </c>
      <c r="E7">
        <v>1381</v>
      </c>
      <c r="F7" t="s">
        <v>644</v>
      </c>
      <c r="G7" t="s">
        <v>645</v>
      </c>
      <c r="H7" t="str">
        <f>IF(tblBilling[[#This Row],[amount]]&gt;3000, "High Revenue","Normal")</f>
        <v>Normal</v>
      </c>
    </row>
    <row r="8" spans="1:8" x14ac:dyDescent="0.35">
      <c r="A8" t="s">
        <v>654</v>
      </c>
      <c r="B8" t="s">
        <v>11</v>
      </c>
      <c r="C8" t="s">
        <v>442</v>
      </c>
      <c r="D8" s="1">
        <v>45025</v>
      </c>
      <c r="E8">
        <v>534.03</v>
      </c>
      <c r="F8" t="s">
        <v>655</v>
      </c>
      <c r="G8" t="s">
        <v>650</v>
      </c>
      <c r="H8" t="str">
        <f>IF(tblBilling[[#This Row],[amount]]&gt;3000, "High Revenue","Normal")</f>
        <v>Normal</v>
      </c>
    </row>
    <row r="9" spans="1:8" x14ac:dyDescent="0.35">
      <c r="A9" t="s">
        <v>656</v>
      </c>
      <c r="B9" t="s">
        <v>79</v>
      </c>
      <c r="C9" t="s">
        <v>443</v>
      </c>
      <c r="D9" s="1">
        <v>45070</v>
      </c>
      <c r="E9">
        <v>3413.64</v>
      </c>
      <c r="F9" t="s">
        <v>655</v>
      </c>
      <c r="G9" t="s">
        <v>650</v>
      </c>
      <c r="H9" t="str">
        <f>IF(tblBilling[[#This Row],[amount]]&gt;3000, "High Revenue","Normal")</f>
        <v>High Revenue</v>
      </c>
    </row>
    <row r="10" spans="1:8" x14ac:dyDescent="0.35">
      <c r="A10" t="s">
        <v>657</v>
      </c>
      <c r="B10" t="s">
        <v>148</v>
      </c>
      <c r="C10" t="s">
        <v>445</v>
      </c>
      <c r="D10" s="1">
        <v>44990</v>
      </c>
      <c r="E10">
        <v>4541.1400000000003</v>
      </c>
      <c r="F10" t="s">
        <v>652</v>
      </c>
      <c r="G10" t="s">
        <v>647</v>
      </c>
      <c r="H10" t="str">
        <f>IF(tblBilling[[#This Row],[amount]]&gt;3000, "High Revenue","Normal")</f>
        <v>High Revenue</v>
      </c>
    </row>
    <row r="11" spans="1:8" x14ac:dyDescent="0.35">
      <c r="A11" t="s">
        <v>658</v>
      </c>
      <c r="B11" t="s">
        <v>39</v>
      </c>
      <c r="C11" t="s">
        <v>446</v>
      </c>
      <c r="D11" s="1">
        <v>44939</v>
      </c>
      <c r="E11">
        <v>1595.67</v>
      </c>
      <c r="F11" t="s">
        <v>655</v>
      </c>
      <c r="G11" t="s">
        <v>647</v>
      </c>
      <c r="H11" t="str">
        <f>IF(tblBilling[[#This Row],[amount]]&gt;3000, "High Revenue","Normal")</f>
        <v>Normal</v>
      </c>
    </row>
    <row r="12" spans="1:8" x14ac:dyDescent="0.35">
      <c r="A12" t="s">
        <v>659</v>
      </c>
      <c r="B12" t="s">
        <v>99</v>
      </c>
      <c r="C12" t="s">
        <v>447</v>
      </c>
      <c r="D12" s="1">
        <v>45242</v>
      </c>
      <c r="E12">
        <v>4671.66</v>
      </c>
      <c r="F12" t="s">
        <v>655</v>
      </c>
      <c r="G12" t="s">
        <v>650</v>
      </c>
      <c r="H12" t="str">
        <f>IF(tblBilling[[#This Row],[amount]]&gt;3000, "High Revenue","Normal")</f>
        <v>High Revenue</v>
      </c>
    </row>
    <row r="13" spans="1:8" x14ac:dyDescent="0.35">
      <c r="A13" t="s">
        <v>660</v>
      </c>
      <c r="B13" t="s">
        <v>123</v>
      </c>
      <c r="C13" t="s">
        <v>448</v>
      </c>
      <c r="D13" s="1">
        <v>45053</v>
      </c>
      <c r="E13">
        <v>771.2</v>
      </c>
      <c r="F13" t="s">
        <v>644</v>
      </c>
      <c r="G13" t="s">
        <v>645</v>
      </c>
      <c r="H13" t="str">
        <f>IF(tblBilling[[#This Row],[amount]]&gt;3000, "High Revenue","Normal")</f>
        <v>Normal</v>
      </c>
    </row>
    <row r="14" spans="1:8" x14ac:dyDescent="0.35">
      <c r="A14" t="s">
        <v>661</v>
      </c>
      <c r="B14" t="s">
        <v>26</v>
      </c>
      <c r="C14" t="s">
        <v>449</v>
      </c>
      <c r="D14" s="1">
        <v>45154</v>
      </c>
      <c r="E14">
        <v>4704.96</v>
      </c>
      <c r="F14" t="s">
        <v>655</v>
      </c>
      <c r="G14" t="s">
        <v>647</v>
      </c>
      <c r="H14" t="str">
        <f>IF(tblBilling[[#This Row],[amount]]&gt;3000, "High Revenue","Normal")</f>
        <v>High Revenue</v>
      </c>
    </row>
    <row r="15" spans="1:8" x14ac:dyDescent="0.35">
      <c r="A15" t="s">
        <v>662</v>
      </c>
      <c r="B15" t="s">
        <v>67</v>
      </c>
      <c r="C15" t="s">
        <v>450</v>
      </c>
      <c r="D15" s="1">
        <v>45071</v>
      </c>
      <c r="E15">
        <v>2082.3000000000002</v>
      </c>
      <c r="F15" t="s">
        <v>652</v>
      </c>
      <c r="G15" t="s">
        <v>647</v>
      </c>
      <c r="H15" t="str">
        <f>IF(tblBilling[[#This Row],[amount]]&gt;3000, "High Revenue","Normal")</f>
        <v>Normal</v>
      </c>
    </row>
    <row r="16" spans="1:8" x14ac:dyDescent="0.35">
      <c r="A16" t="s">
        <v>663</v>
      </c>
      <c r="B16" t="s">
        <v>114</v>
      </c>
      <c r="C16" t="s">
        <v>451</v>
      </c>
      <c r="D16" s="1">
        <v>44941</v>
      </c>
      <c r="E16">
        <v>956.39</v>
      </c>
      <c r="F16" t="s">
        <v>644</v>
      </c>
      <c r="G16" t="s">
        <v>645</v>
      </c>
      <c r="H16" t="str">
        <f>IF(tblBilling[[#This Row],[amount]]&gt;3000, "High Revenue","Normal")</f>
        <v>Normal</v>
      </c>
    </row>
    <row r="17" spans="1:8" x14ac:dyDescent="0.35">
      <c r="A17" t="s">
        <v>664</v>
      </c>
      <c r="B17" t="s">
        <v>79</v>
      </c>
      <c r="C17" t="s">
        <v>452</v>
      </c>
      <c r="D17" s="1">
        <v>45107</v>
      </c>
      <c r="E17">
        <v>2686.42</v>
      </c>
      <c r="F17" t="s">
        <v>644</v>
      </c>
      <c r="G17" t="s">
        <v>647</v>
      </c>
      <c r="H17" t="str">
        <f>IF(tblBilling[[#This Row],[amount]]&gt;3000, "High Revenue","Normal")</f>
        <v>Normal</v>
      </c>
    </row>
    <row r="18" spans="1:8" x14ac:dyDescent="0.35">
      <c r="A18" t="s">
        <v>665</v>
      </c>
      <c r="B18" t="s">
        <v>143</v>
      </c>
      <c r="C18" t="s">
        <v>453</v>
      </c>
      <c r="D18" s="1">
        <v>45118</v>
      </c>
      <c r="E18">
        <v>1655.49</v>
      </c>
      <c r="F18" t="s">
        <v>652</v>
      </c>
      <c r="G18" t="s">
        <v>645</v>
      </c>
      <c r="H18" t="str">
        <f>IF(tblBilling[[#This Row],[amount]]&gt;3000, "High Revenue","Normal")</f>
        <v>Normal</v>
      </c>
    </row>
    <row r="19" spans="1:8" x14ac:dyDescent="0.35">
      <c r="A19" t="s">
        <v>666</v>
      </c>
      <c r="B19" t="s">
        <v>99</v>
      </c>
      <c r="C19" t="s">
        <v>454</v>
      </c>
      <c r="D19" s="1">
        <v>45244</v>
      </c>
      <c r="E19">
        <v>1781.93</v>
      </c>
      <c r="F19" t="s">
        <v>644</v>
      </c>
      <c r="G19" t="s">
        <v>645</v>
      </c>
      <c r="H19" t="str">
        <f>IF(tblBilling[[#This Row],[amount]]&gt;3000, "High Revenue","Normal")</f>
        <v>Normal</v>
      </c>
    </row>
    <row r="20" spans="1:8" x14ac:dyDescent="0.35">
      <c r="A20" t="s">
        <v>667</v>
      </c>
      <c r="B20" t="s">
        <v>123</v>
      </c>
      <c r="C20" t="s">
        <v>455</v>
      </c>
      <c r="D20" s="1">
        <v>44963</v>
      </c>
      <c r="E20">
        <v>1882.8</v>
      </c>
      <c r="F20" t="s">
        <v>644</v>
      </c>
      <c r="G20" t="s">
        <v>645</v>
      </c>
      <c r="H20" t="str">
        <f>IF(tblBilling[[#This Row],[amount]]&gt;3000, "High Revenue","Normal")</f>
        <v>Normal</v>
      </c>
    </row>
    <row r="21" spans="1:8" x14ac:dyDescent="0.35">
      <c r="A21" t="s">
        <v>668</v>
      </c>
      <c r="B21" t="s">
        <v>72</v>
      </c>
      <c r="C21" t="s">
        <v>457</v>
      </c>
      <c r="D21" s="1">
        <v>45265</v>
      </c>
      <c r="E21">
        <v>4113.62</v>
      </c>
      <c r="F21" t="s">
        <v>652</v>
      </c>
      <c r="G21" t="s">
        <v>650</v>
      </c>
      <c r="H21" t="str">
        <f>IF(tblBilling[[#This Row],[amount]]&gt;3000, "High Revenue","Normal")</f>
        <v>High Revenue</v>
      </c>
    </row>
    <row r="22" spans="1:8" x14ac:dyDescent="0.35">
      <c r="A22" t="s">
        <v>669</v>
      </c>
      <c r="B22" t="s">
        <v>120</v>
      </c>
      <c r="C22" t="s">
        <v>458</v>
      </c>
      <c r="D22" s="1">
        <v>45040</v>
      </c>
      <c r="E22">
        <v>2926.23</v>
      </c>
      <c r="F22" t="s">
        <v>644</v>
      </c>
      <c r="G22" t="s">
        <v>650</v>
      </c>
      <c r="H22" t="str">
        <f>IF(tblBilling[[#This Row],[amount]]&gt;3000, "High Revenue","Normal")</f>
        <v>Normal</v>
      </c>
    </row>
    <row r="23" spans="1:8" x14ac:dyDescent="0.35">
      <c r="A23" t="s">
        <v>670</v>
      </c>
      <c r="B23" t="s">
        <v>39</v>
      </c>
      <c r="C23" t="s">
        <v>459</v>
      </c>
      <c r="D23" s="1">
        <v>45244</v>
      </c>
      <c r="E23">
        <v>1900.88</v>
      </c>
      <c r="F23" t="s">
        <v>652</v>
      </c>
      <c r="G23" t="s">
        <v>650</v>
      </c>
      <c r="H23" t="str">
        <f>IF(tblBilling[[#This Row],[amount]]&gt;3000, "High Revenue","Normal")</f>
        <v>Normal</v>
      </c>
    </row>
    <row r="24" spans="1:8" x14ac:dyDescent="0.35">
      <c r="A24" t="s">
        <v>671</v>
      </c>
      <c r="B24" t="s">
        <v>170</v>
      </c>
      <c r="C24" t="s">
        <v>460</v>
      </c>
      <c r="D24" s="1">
        <v>45055</v>
      </c>
      <c r="E24">
        <v>3246.5</v>
      </c>
      <c r="F24" t="s">
        <v>652</v>
      </c>
      <c r="G24" t="s">
        <v>645</v>
      </c>
      <c r="H24" t="str">
        <f>IF(tblBilling[[#This Row],[amount]]&gt;3000, "High Revenue","Normal")</f>
        <v>High Revenue</v>
      </c>
    </row>
    <row r="25" spans="1:8" x14ac:dyDescent="0.35">
      <c r="A25" t="s">
        <v>672</v>
      </c>
      <c r="B25" t="s">
        <v>175</v>
      </c>
      <c r="C25" t="s">
        <v>461</v>
      </c>
      <c r="D25" s="1">
        <v>45098</v>
      </c>
      <c r="E25">
        <v>3722.68</v>
      </c>
      <c r="F25" t="s">
        <v>655</v>
      </c>
      <c r="G25" t="s">
        <v>645</v>
      </c>
      <c r="H25" t="str">
        <f>IF(tblBilling[[#This Row],[amount]]&gt;3000, "High Revenue","Normal")</f>
        <v>High Revenue</v>
      </c>
    </row>
    <row r="26" spans="1:8" x14ac:dyDescent="0.35">
      <c r="A26" t="s">
        <v>673</v>
      </c>
      <c r="B26" t="s">
        <v>126</v>
      </c>
      <c r="C26" t="s">
        <v>462</v>
      </c>
      <c r="D26" s="1">
        <v>44982</v>
      </c>
      <c r="E26">
        <v>1726.81</v>
      </c>
      <c r="F26" t="s">
        <v>655</v>
      </c>
      <c r="G26" t="s">
        <v>650</v>
      </c>
      <c r="H26" t="str">
        <f>IF(tblBilling[[#This Row],[amount]]&gt;3000, "High Revenue","Normal")</f>
        <v>Normal</v>
      </c>
    </row>
    <row r="27" spans="1:8" x14ac:dyDescent="0.35">
      <c r="A27" t="s">
        <v>674</v>
      </c>
      <c r="B27" t="s">
        <v>168</v>
      </c>
      <c r="C27" t="s">
        <v>463</v>
      </c>
      <c r="D27" s="1">
        <v>45002</v>
      </c>
      <c r="E27">
        <v>2360.9699999999998</v>
      </c>
      <c r="F27" t="s">
        <v>644</v>
      </c>
      <c r="G27" t="s">
        <v>647</v>
      </c>
      <c r="H27" t="str">
        <f>IF(tblBilling[[#This Row],[amount]]&gt;3000, "High Revenue","Normal")</f>
        <v>Normal</v>
      </c>
    </row>
    <row r="28" spans="1:8" x14ac:dyDescent="0.35">
      <c r="A28" t="s">
        <v>675</v>
      </c>
      <c r="B28" t="s">
        <v>39</v>
      </c>
      <c r="C28" t="s">
        <v>464</v>
      </c>
      <c r="D28" s="1">
        <v>45244</v>
      </c>
      <c r="E28">
        <v>1048.49</v>
      </c>
      <c r="F28" t="s">
        <v>644</v>
      </c>
      <c r="G28" t="s">
        <v>645</v>
      </c>
      <c r="H28" t="str">
        <f>IF(tblBilling[[#This Row],[amount]]&gt;3000, "High Revenue","Normal")</f>
        <v>Normal</v>
      </c>
    </row>
    <row r="29" spans="1:8" x14ac:dyDescent="0.35">
      <c r="A29" t="s">
        <v>676</v>
      </c>
      <c r="B29" t="s">
        <v>67</v>
      </c>
      <c r="C29" t="s">
        <v>465</v>
      </c>
      <c r="D29" s="1">
        <v>45228</v>
      </c>
      <c r="E29">
        <v>1315.17</v>
      </c>
      <c r="F29" t="s">
        <v>652</v>
      </c>
      <c r="G29" t="s">
        <v>647</v>
      </c>
      <c r="H29" t="str">
        <f>IF(tblBilling[[#This Row],[amount]]&gt;3000, "High Revenue","Normal")</f>
        <v>Normal</v>
      </c>
    </row>
    <row r="30" spans="1:8" x14ac:dyDescent="0.35">
      <c r="A30" t="s">
        <v>677</v>
      </c>
      <c r="B30" t="s">
        <v>79</v>
      </c>
      <c r="C30" t="s">
        <v>466</v>
      </c>
      <c r="D30" s="1">
        <v>45102</v>
      </c>
      <c r="E30">
        <v>3565.03</v>
      </c>
      <c r="F30" t="s">
        <v>644</v>
      </c>
      <c r="G30" t="s">
        <v>647</v>
      </c>
      <c r="H30" t="str">
        <f>IF(tblBilling[[#This Row],[amount]]&gt;3000, "High Revenue","Normal")</f>
        <v>High Revenue</v>
      </c>
    </row>
    <row r="31" spans="1:8" x14ac:dyDescent="0.35">
      <c r="A31" t="s">
        <v>678</v>
      </c>
      <c r="B31" t="s">
        <v>114</v>
      </c>
      <c r="C31" t="s">
        <v>467</v>
      </c>
      <c r="D31" s="1">
        <v>45167</v>
      </c>
      <c r="E31">
        <v>1316.47</v>
      </c>
      <c r="F31" t="s">
        <v>652</v>
      </c>
      <c r="G31" t="s">
        <v>645</v>
      </c>
      <c r="H31" t="str">
        <f>IF(tblBilling[[#This Row],[amount]]&gt;3000, "High Revenue","Normal")</f>
        <v>Normal</v>
      </c>
    </row>
    <row r="32" spans="1:8" x14ac:dyDescent="0.35">
      <c r="A32" t="s">
        <v>679</v>
      </c>
      <c r="B32" t="s">
        <v>114</v>
      </c>
      <c r="C32" t="s">
        <v>468</v>
      </c>
      <c r="D32" s="1">
        <v>45020</v>
      </c>
      <c r="E32">
        <v>2863.24</v>
      </c>
      <c r="F32" t="s">
        <v>652</v>
      </c>
      <c r="G32" t="s">
        <v>645</v>
      </c>
      <c r="H32" t="str">
        <f>IF(tblBilling[[#This Row],[amount]]&gt;3000, "High Revenue","Normal")</f>
        <v>Normal</v>
      </c>
    </row>
    <row r="33" spans="1:8" x14ac:dyDescent="0.35">
      <c r="A33" t="s">
        <v>680</v>
      </c>
      <c r="B33" t="s">
        <v>172</v>
      </c>
      <c r="C33" t="s">
        <v>469</v>
      </c>
      <c r="D33" s="1">
        <v>45236</v>
      </c>
      <c r="E33">
        <v>3690.71</v>
      </c>
      <c r="F33" t="s">
        <v>644</v>
      </c>
      <c r="G33" t="s">
        <v>647</v>
      </c>
      <c r="H33" t="str">
        <f>IF(tblBilling[[#This Row],[amount]]&gt;3000, "High Revenue","Normal")</f>
        <v>High Revenue</v>
      </c>
    </row>
    <row r="34" spans="1:8" x14ac:dyDescent="0.35">
      <c r="A34" t="s">
        <v>681</v>
      </c>
      <c r="B34" t="s">
        <v>96</v>
      </c>
      <c r="C34" t="s">
        <v>470</v>
      </c>
      <c r="D34" s="1">
        <v>45192</v>
      </c>
      <c r="E34">
        <v>980.95</v>
      </c>
      <c r="F34" t="s">
        <v>652</v>
      </c>
      <c r="G34" t="s">
        <v>647</v>
      </c>
      <c r="H34" t="str">
        <f>IF(tblBilling[[#This Row],[amount]]&gt;3000, "High Revenue","Normal")</f>
        <v>Normal</v>
      </c>
    </row>
    <row r="35" spans="1:8" x14ac:dyDescent="0.35">
      <c r="A35" t="s">
        <v>682</v>
      </c>
      <c r="B35" t="s">
        <v>148</v>
      </c>
      <c r="C35" t="s">
        <v>471</v>
      </c>
      <c r="D35" s="1">
        <v>45090</v>
      </c>
      <c r="E35">
        <v>3052.9</v>
      </c>
      <c r="F35" t="s">
        <v>655</v>
      </c>
      <c r="G35" t="s">
        <v>650</v>
      </c>
      <c r="H35" t="str">
        <f>IF(tblBilling[[#This Row],[amount]]&gt;3000, "High Revenue","Normal")</f>
        <v>High Revenue</v>
      </c>
    </row>
    <row r="36" spans="1:8" x14ac:dyDescent="0.35">
      <c r="A36" t="s">
        <v>683</v>
      </c>
      <c r="B36" t="s">
        <v>141</v>
      </c>
      <c r="C36" t="s">
        <v>472</v>
      </c>
      <c r="D36" s="1">
        <v>45034</v>
      </c>
      <c r="E36">
        <v>1654.53</v>
      </c>
      <c r="F36" t="s">
        <v>644</v>
      </c>
      <c r="G36" t="s">
        <v>650</v>
      </c>
      <c r="H36" t="str">
        <f>IF(tblBilling[[#This Row],[amount]]&gt;3000, "High Revenue","Normal")</f>
        <v>Normal</v>
      </c>
    </row>
    <row r="37" spans="1:8" x14ac:dyDescent="0.35">
      <c r="A37" t="s">
        <v>684</v>
      </c>
      <c r="B37" t="s">
        <v>134</v>
      </c>
      <c r="C37" t="s">
        <v>473</v>
      </c>
      <c r="D37" s="1">
        <v>44934</v>
      </c>
      <c r="E37">
        <v>4833.17</v>
      </c>
      <c r="F37" t="s">
        <v>655</v>
      </c>
      <c r="G37" t="s">
        <v>645</v>
      </c>
      <c r="H37" t="str">
        <f>IF(tblBilling[[#This Row],[amount]]&gt;3000, "High Revenue","Normal")</f>
        <v>High Revenue</v>
      </c>
    </row>
    <row r="38" spans="1:8" x14ac:dyDescent="0.35">
      <c r="A38" t="s">
        <v>685</v>
      </c>
      <c r="B38" t="s">
        <v>126</v>
      </c>
      <c r="C38" t="s">
        <v>474</v>
      </c>
      <c r="D38" s="1">
        <v>45013</v>
      </c>
      <c r="E38">
        <v>2675.96</v>
      </c>
      <c r="F38" t="s">
        <v>644</v>
      </c>
      <c r="G38" t="s">
        <v>650</v>
      </c>
      <c r="H38" t="str">
        <f>IF(tblBilling[[#This Row],[amount]]&gt;3000, "High Revenue","Normal")</f>
        <v>Normal</v>
      </c>
    </row>
    <row r="39" spans="1:8" x14ac:dyDescent="0.35">
      <c r="A39" t="s">
        <v>686</v>
      </c>
      <c r="B39" t="s">
        <v>143</v>
      </c>
      <c r="C39" t="s">
        <v>475</v>
      </c>
      <c r="D39" s="1">
        <v>44980</v>
      </c>
      <c r="E39">
        <v>4126.97</v>
      </c>
      <c r="F39" t="s">
        <v>652</v>
      </c>
      <c r="G39" t="s">
        <v>650</v>
      </c>
      <c r="H39" t="str">
        <f>IF(tblBilling[[#This Row],[amount]]&gt;3000, "High Revenue","Normal")</f>
        <v>High Revenue</v>
      </c>
    </row>
    <row r="40" spans="1:8" x14ac:dyDescent="0.35">
      <c r="A40" t="s">
        <v>687</v>
      </c>
      <c r="B40" t="s">
        <v>104</v>
      </c>
      <c r="C40" t="s">
        <v>476</v>
      </c>
      <c r="D40" s="1">
        <v>45033</v>
      </c>
      <c r="E40">
        <v>2976.02</v>
      </c>
      <c r="F40" t="s">
        <v>644</v>
      </c>
      <c r="G40" t="s">
        <v>650</v>
      </c>
      <c r="H40" t="str">
        <f>IF(tblBilling[[#This Row],[amount]]&gt;3000, "High Revenue","Normal")</f>
        <v>Normal</v>
      </c>
    </row>
    <row r="41" spans="1:8" x14ac:dyDescent="0.35">
      <c r="A41" t="s">
        <v>688</v>
      </c>
      <c r="B41" t="s">
        <v>60</v>
      </c>
      <c r="C41" t="s">
        <v>477</v>
      </c>
      <c r="D41" s="1">
        <v>45012</v>
      </c>
      <c r="E41">
        <v>695.36</v>
      </c>
      <c r="F41" t="s">
        <v>655</v>
      </c>
      <c r="G41" t="s">
        <v>650</v>
      </c>
      <c r="H41" t="str">
        <f>IF(tblBilling[[#This Row],[amount]]&gt;3000, "High Revenue","Normal")</f>
        <v>Normal</v>
      </c>
    </row>
    <row r="42" spans="1:8" x14ac:dyDescent="0.35">
      <c r="A42" t="s">
        <v>689</v>
      </c>
      <c r="B42" t="s">
        <v>39</v>
      </c>
      <c r="C42" t="s">
        <v>478</v>
      </c>
      <c r="D42" s="1">
        <v>44927</v>
      </c>
      <c r="E42">
        <v>3349.18</v>
      </c>
      <c r="F42" t="s">
        <v>652</v>
      </c>
      <c r="G42" t="s">
        <v>647</v>
      </c>
      <c r="H42" t="str">
        <f>IF(tblBilling[[#This Row],[amount]]&gt;3000, "High Revenue","Normal")</f>
        <v>High Revenue</v>
      </c>
    </row>
    <row r="43" spans="1:8" x14ac:dyDescent="0.35">
      <c r="A43" t="s">
        <v>690</v>
      </c>
      <c r="B43" t="s">
        <v>141</v>
      </c>
      <c r="C43" t="s">
        <v>479</v>
      </c>
      <c r="D43" s="1">
        <v>45006</v>
      </c>
      <c r="E43">
        <v>4781.32</v>
      </c>
      <c r="F43" t="s">
        <v>644</v>
      </c>
      <c r="G43" t="s">
        <v>645</v>
      </c>
      <c r="H43" t="str">
        <f>IF(tblBilling[[#This Row],[amount]]&gt;3000, "High Revenue","Normal")</f>
        <v>High Revenue</v>
      </c>
    </row>
    <row r="44" spans="1:8" x14ac:dyDescent="0.35">
      <c r="A44" t="s">
        <v>691</v>
      </c>
      <c r="B44" t="s">
        <v>136</v>
      </c>
      <c r="C44" t="s">
        <v>480</v>
      </c>
      <c r="D44" s="1">
        <v>45014</v>
      </c>
      <c r="E44">
        <v>3207.25</v>
      </c>
      <c r="F44" t="s">
        <v>644</v>
      </c>
      <c r="G44" t="s">
        <v>650</v>
      </c>
      <c r="H44" t="str">
        <f>IF(tblBilling[[#This Row],[amount]]&gt;3000, "High Revenue","Normal")</f>
        <v>High Revenue</v>
      </c>
    </row>
    <row r="45" spans="1:8" x14ac:dyDescent="0.35">
      <c r="A45" t="s">
        <v>692</v>
      </c>
      <c r="B45" t="s">
        <v>129</v>
      </c>
      <c r="C45" t="s">
        <v>481</v>
      </c>
      <c r="D45" s="1">
        <v>45189</v>
      </c>
      <c r="E45">
        <v>4186.3500000000004</v>
      </c>
      <c r="F45" t="s">
        <v>644</v>
      </c>
      <c r="G45" t="s">
        <v>647</v>
      </c>
      <c r="H45" t="str">
        <f>IF(tblBilling[[#This Row],[amount]]&gt;3000, "High Revenue","Normal")</f>
        <v>High Revenue</v>
      </c>
    </row>
    <row r="46" spans="1:8" x14ac:dyDescent="0.35">
      <c r="A46" t="s">
        <v>693</v>
      </c>
      <c r="B46" t="s">
        <v>60</v>
      </c>
      <c r="C46" t="s">
        <v>482</v>
      </c>
      <c r="D46" s="1">
        <v>45197</v>
      </c>
      <c r="E46">
        <v>4478.93</v>
      </c>
      <c r="F46" t="s">
        <v>655</v>
      </c>
      <c r="G46" t="s">
        <v>647</v>
      </c>
      <c r="H46" t="str">
        <f>IF(tblBilling[[#This Row],[amount]]&gt;3000, "High Revenue","Normal")</f>
        <v>High Revenue</v>
      </c>
    </row>
    <row r="47" spans="1:8" x14ac:dyDescent="0.35">
      <c r="A47" t="s">
        <v>694</v>
      </c>
      <c r="B47" t="s">
        <v>88</v>
      </c>
      <c r="C47" t="s">
        <v>483</v>
      </c>
      <c r="D47" s="1">
        <v>45280</v>
      </c>
      <c r="E47">
        <v>1526.36</v>
      </c>
      <c r="F47" t="s">
        <v>655</v>
      </c>
      <c r="G47" t="s">
        <v>647</v>
      </c>
      <c r="H47" t="str">
        <f>IF(tblBilling[[#This Row],[amount]]&gt;3000, "High Revenue","Normal")</f>
        <v>Normal</v>
      </c>
    </row>
    <row r="48" spans="1:8" x14ac:dyDescent="0.35">
      <c r="A48" t="s">
        <v>695</v>
      </c>
      <c r="B48" t="s">
        <v>132</v>
      </c>
      <c r="C48" t="s">
        <v>484</v>
      </c>
      <c r="D48" s="1">
        <v>45048</v>
      </c>
      <c r="E48">
        <v>1454.2</v>
      </c>
      <c r="F48" t="s">
        <v>644</v>
      </c>
      <c r="G48" t="s">
        <v>650</v>
      </c>
      <c r="H48" t="str">
        <f>IF(tblBilling[[#This Row],[amount]]&gt;3000, "High Revenue","Normal")</f>
        <v>Normal</v>
      </c>
    </row>
    <row r="49" spans="1:8" x14ac:dyDescent="0.35">
      <c r="A49" t="s">
        <v>696</v>
      </c>
      <c r="B49" t="s">
        <v>11</v>
      </c>
      <c r="C49" t="s">
        <v>485</v>
      </c>
      <c r="D49" s="1">
        <v>44942</v>
      </c>
      <c r="E49">
        <v>3249.41</v>
      </c>
      <c r="F49" t="s">
        <v>652</v>
      </c>
      <c r="G49" t="s">
        <v>650</v>
      </c>
      <c r="H49" t="str">
        <f>IF(tblBilling[[#This Row],[amount]]&gt;3000, "High Revenue","Normal")</f>
        <v>High Revenue</v>
      </c>
    </row>
    <row r="50" spans="1:8" x14ac:dyDescent="0.35">
      <c r="A50" t="s">
        <v>697</v>
      </c>
      <c r="B50" t="s">
        <v>39</v>
      </c>
      <c r="C50" t="s">
        <v>486</v>
      </c>
      <c r="D50" s="1">
        <v>45046</v>
      </c>
      <c r="E50">
        <v>2349.63</v>
      </c>
      <c r="F50" t="s">
        <v>652</v>
      </c>
      <c r="G50" t="s">
        <v>645</v>
      </c>
      <c r="H50" t="str">
        <f>IF(tblBilling[[#This Row],[amount]]&gt;3000, "High Revenue","Normal")</f>
        <v>Normal</v>
      </c>
    </row>
    <row r="51" spans="1:8" x14ac:dyDescent="0.35">
      <c r="A51" t="s">
        <v>698</v>
      </c>
      <c r="B51" t="s">
        <v>165</v>
      </c>
      <c r="C51" t="s">
        <v>487</v>
      </c>
      <c r="D51" s="1">
        <v>45154</v>
      </c>
      <c r="E51">
        <v>4279.38</v>
      </c>
      <c r="F51" t="s">
        <v>655</v>
      </c>
      <c r="G51" t="s">
        <v>650</v>
      </c>
      <c r="H51" t="str">
        <f>IF(tblBilling[[#This Row],[amount]]&gt;3000, "High Revenue","Normal")</f>
        <v>High Revenue</v>
      </c>
    </row>
    <row r="52" spans="1:8" x14ac:dyDescent="0.35">
      <c r="A52" t="s">
        <v>699</v>
      </c>
      <c r="B52" t="s">
        <v>32</v>
      </c>
      <c r="C52" t="s">
        <v>488</v>
      </c>
      <c r="D52" s="1">
        <v>44961</v>
      </c>
      <c r="E52">
        <v>4550.1000000000004</v>
      </c>
      <c r="F52" t="s">
        <v>652</v>
      </c>
      <c r="G52" t="s">
        <v>650</v>
      </c>
      <c r="H52" t="str">
        <f>IF(tblBilling[[#This Row],[amount]]&gt;3000, "High Revenue","Normal")</f>
        <v>High Revenue</v>
      </c>
    </row>
    <row r="53" spans="1:8" x14ac:dyDescent="0.35">
      <c r="A53" t="s">
        <v>700</v>
      </c>
      <c r="B53" t="s">
        <v>79</v>
      </c>
      <c r="C53" t="s">
        <v>489</v>
      </c>
      <c r="D53" s="1">
        <v>45119</v>
      </c>
      <c r="E53">
        <v>2090.4</v>
      </c>
      <c r="F53" t="s">
        <v>655</v>
      </c>
      <c r="G53" t="s">
        <v>647</v>
      </c>
      <c r="H53" t="str">
        <f>IF(tblBilling[[#This Row],[amount]]&gt;3000, "High Revenue","Normal")</f>
        <v>Normal</v>
      </c>
    </row>
    <row r="54" spans="1:8" x14ac:dyDescent="0.35">
      <c r="A54" t="s">
        <v>701</v>
      </c>
      <c r="B54" t="s">
        <v>107</v>
      </c>
      <c r="C54" t="s">
        <v>490</v>
      </c>
      <c r="D54" s="1">
        <v>44969</v>
      </c>
      <c r="E54">
        <v>1565.92</v>
      </c>
      <c r="F54" t="s">
        <v>644</v>
      </c>
      <c r="G54" t="s">
        <v>645</v>
      </c>
      <c r="H54" t="str">
        <f>IF(tblBilling[[#This Row],[amount]]&gt;3000, "High Revenue","Normal")</f>
        <v>Normal</v>
      </c>
    </row>
    <row r="55" spans="1:8" x14ac:dyDescent="0.35">
      <c r="A55" t="s">
        <v>702</v>
      </c>
      <c r="B55" t="s">
        <v>79</v>
      </c>
      <c r="C55" t="s">
        <v>491</v>
      </c>
      <c r="D55" s="1">
        <v>45276</v>
      </c>
      <c r="E55">
        <v>4012.36</v>
      </c>
      <c r="F55" t="s">
        <v>655</v>
      </c>
      <c r="G55" t="s">
        <v>650</v>
      </c>
      <c r="H55" t="str">
        <f>IF(tblBilling[[#This Row],[amount]]&gt;3000, "High Revenue","Normal")</f>
        <v>High Revenue</v>
      </c>
    </row>
    <row r="56" spans="1:8" x14ac:dyDescent="0.35">
      <c r="A56" t="s">
        <v>703</v>
      </c>
      <c r="B56" t="s">
        <v>19</v>
      </c>
      <c r="C56" t="s">
        <v>492</v>
      </c>
      <c r="D56" s="1">
        <v>45205</v>
      </c>
      <c r="E56">
        <v>1736.63</v>
      </c>
      <c r="F56" t="s">
        <v>655</v>
      </c>
      <c r="G56" t="s">
        <v>650</v>
      </c>
      <c r="H56" t="str">
        <f>IF(tblBilling[[#This Row],[amount]]&gt;3000, "High Revenue","Normal")</f>
        <v>Normal</v>
      </c>
    </row>
    <row r="57" spans="1:8" x14ac:dyDescent="0.35">
      <c r="A57" t="s">
        <v>704</v>
      </c>
      <c r="B57" t="s">
        <v>175</v>
      </c>
      <c r="C57" t="s">
        <v>493</v>
      </c>
      <c r="D57" s="1">
        <v>44928</v>
      </c>
      <c r="E57">
        <v>4201.76</v>
      </c>
      <c r="F57" t="s">
        <v>644</v>
      </c>
      <c r="G57" t="s">
        <v>647</v>
      </c>
      <c r="H57" t="str">
        <f>IF(tblBilling[[#This Row],[amount]]&gt;3000, "High Revenue","Normal")</f>
        <v>High Revenue</v>
      </c>
    </row>
    <row r="58" spans="1:8" x14ac:dyDescent="0.35">
      <c r="A58" t="s">
        <v>705</v>
      </c>
      <c r="B58" t="s">
        <v>120</v>
      </c>
      <c r="C58" t="s">
        <v>494</v>
      </c>
      <c r="D58" s="1">
        <v>45031</v>
      </c>
      <c r="E58">
        <v>2406.8200000000002</v>
      </c>
      <c r="F58" t="s">
        <v>652</v>
      </c>
      <c r="G58" t="s">
        <v>647</v>
      </c>
      <c r="H58" t="str">
        <f>IF(tblBilling[[#This Row],[amount]]&gt;3000, "High Revenue","Normal")</f>
        <v>Normal</v>
      </c>
    </row>
    <row r="59" spans="1:8" x14ac:dyDescent="0.35">
      <c r="A59" t="s">
        <v>706</v>
      </c>
      <c r="B59" t="s">
        <v>132</v>
      </c>
      <c r="C59" t="s">
        <v>495</v>
      </c>
      <c r="D59" s="1">
        <v>45055</v>
      </c>
      <c r="E59">
        <v>3503.97</v>
      </c>
      <c r="F59" t="s">
        <v>655</v>
      </c>
      <c r="G59" t="s">
        <v>650</v>
      </c>
      <c r="H59" t="str">
        <f>IF(tblBilling[[#This Row],[amount]]&gt;3000, "High Revenue","Normal")</f>
        <v>High Revenue</v>
      </c>
    </row>
    <row r="60" spans="1:8" x14ac:dyDescent="0.35">
      <c r="A60" t="s">
        <v>707</v>
      </c>
      <c r="B60" t="s">
        <v>117</v>
      </c>
      <c r="C60" t="s">
        <v>496</v>
      </c>
      <c r="D60" s="1">
        <v>44994</v>
      </c>
      <c r="E60">
        <v>929.91</v>
      </c>
      <c r="F60" t="s">
        <v>655</v>
      </c>
      <c r="G60" t="s">
        <v>645</v>
      </c>
      <c r="H60" t="str">
        <f>IF(tblBilling[[#This Row],[amount]]&gt;3000, "High Revenue","Normal")</f>
        <v>Normal</v>
      </c>
    </row>
    <row r="61" spans="1:8" x14ac:dyDescent="0.35">
      <c r="A61" t="s">
        <v>708</v>
      </c>
      <c r="B61" t="s">
        <v>92</v>
      </c>
      <c r="C61" t="s">
        <v>497</v>
      </c>
      <c r="D61" s="1">
        <v>45252</v>
      </c>
      <c r="E61">
        <v>3307.37</v>
      </c>
      <c r="F61" t="s">
        <v>644</v>
      </c>
      <c r="G61" t="s">
        <v>645</v>
      </c>
      <c r="H61" t="str">
        <f>IF(tblBilling[[#This Row],[amount]]&gt;3000, "High Revenue","Normal")</f>
        <v>High Revenue</v>
      </c>
    </row>
    <row r="62" spans="1:8" x14ac:dyDescent="0.35">
      <c r="A62" t="s">
        <v>709</v>
      </c>
      <c r="B62" t="s">
        <v>107</v>
      </c>
      <c r="C62" t="s">
        <v>498</v>
      </c>
      <c r="D62" s="1">
        <v>44941</v>
      </c>
      <c r="E62">
        <v>2532.9499999999998</v>
      </c>
      <c r="F62" t="s">
        <v>652</v>
      </c>
      <c r="G62" t="s">
        <v>647</v>
      </c>
      <c r="H62" t="str">
        <f>IF(tblBilling[[#This Row],[amount]]&gt;3000, "High Revenue","Normal")</f>
        <v>Normal</v>
      </c>
    </row>
    <row r="63" spans="1:8" x14ac:dyDescent="0.35">
      <c r="A63" t="s">
        <v>710</v>
      </c>
      <c r="B63" t="s">
        <v>67</v>
      </c>
      <c r="C63" t="s">
        <v>499</v>
      </c>
      <c r="D63" s="1">
        <v>45091</v>
      </c>
      <c r="E63">
        <v>3139.74</v>
      </c>
      <c r="F63" t="s">
        <v>655</v>
      </c>
      <c r="G63" t="s">
        <v>647</v>
      </c>
      <c r="H63" t="str">
        <f>IF(tblBilling[[#This Row],[amount]]&gt;3000, "High Revenue","Normal")</f>
        <v>High Revenue</v>
      </c>
    </row>
    <row r="64" spans="1:8" x14ac:dyDescent="0.35">
      <c r="A64" t="s">
        <v>711</v>
      </c>
      <c r="B64" t="s">
        <v>178</v>
      </c>
      <c r="C64" t="s">
        <v>500</v>
      </c>
      <c r="D64" s="1">
        <v>45106</v>
      </c>
      <c r="E64">
        <v>1256.06</v>
      </c>
      <c r="F64" t="s">
        <v>644</v>
      </c>
      <c r="G64" t="s">
        <v>650</v>
      </c>
      <c r="H64" t="str">
        <f>IF(tblBilling[[#This Row],[amount]]&gt;3000, "High Revenue","Normal")</f>
        <v>Normal</v>
      </c>
    </row>
    <row r="65" spans="1:8" x14ac:dyDescent="0.35">
      <c r="A65" t="s">
        <v>712</v>
      </c>
      <c r="B65" t="s">
        <v>139</v>
      </c>
      <c r="C65" t="s">
        <v>501</v>
      </c>
      <c r="D65" s="1">
        <v>45077</v>
      </c>
      <c r="E65">
        <v>3815.93</v>
      </c>
      <c r="F65" t="s">
        <v>655</v>
      </c>
      <c r="G65" t="s">
        <v>647</v>
      </c>
      <c r="H65" t="str">
        <f>IF(tblBilling[[#This Row],[amount]]&gt;3000, "High Revenue","Normal")</f>
        <v>High Revenue</v>
      </c>
    </row>
    <row r="66" spans="1:8" x14ac:dyDescent="0.35">
      <c r="A66" t="s">
        <v>713</v>
      </c>
      <c r="B66" t="s">
        <v>134</v>
      </c>
      <c r="C66" t="s">
        <v>502</v>
      </c>
      <c r="D66" s="1">
        <v>45040</v>
      </c>
      <c r="E66">
        <v>4382.59</v>
      </c>
      <c r="F66" t="s">
        <v>644</v>
      </c>
      <c r="G66" t="s">
        <v>650</v>
      </c>
      <c r="H66" t="str">
        <f>IF(tblBilling[[#This Row],[amount]]&gt;3000, "High Revenue","Normal")</f>
        <v>High Revenue</v>
      </c>
    </row>
    <row r="67" spans="1:8" x14ac:dyDescent="0.35">
      <c r="A67" t="s">
        <v>714</v>
      </c>
      <c r="B67" t="s">
        <v>134</v>
      </c>
      <c r="C67" t="s">
        <v>503</v>
      </c>
      <c r="D67" s="1">
        <v>45056</v>
      </c>
      <c r="E67">
        <v>1475.33</v>
      </c>
      <c r="F67" t="s">
        <v>652</v>
      </c>
      <c r="G67" t="s">
        <v>645</v>
      </c>
      <c r="H67" t="str">
        <f>IF(tblBilling[[#This Row],[amount]]&gt;3000, "High Revenue","Normal")</f>
        <v>Normal</v>
      </c>
    </row>
    <row r="68" spans="1:8" x14ac:dyDescent="0.35">
      <c r="A68" t="s">
        <v>715</v>
      </c>
      <c r="B68" t="s">
        <v>159</v>
      </c>
      <c r="C68" t="s">
        <v>504</v>
      </c>
      <c r="D68" s="1">
        <v>45148</v>
      </c>
      <c r="E68">
        <v>930.72</v>
      </c>
      <c r="F68" t="s">
        <v>652</v>
      </c>
      <c r="G68" t="s">
        <v>645</v>
      </c>
      <c r="H68" t="str">
        <f>IF(tblBilling[[#This Row],[amount]]&gt;3000, "High Revenue","Normal")</f>
        <v>Normal</v>
      </c>
    </row>
    <row r="69" spans="1:8" x14ac:dyDescent="0.35">
      <c r="A69" t="s">
        <v>716</v>
      </c>
      <c r="B69" t="s">
        <v>143</v>
      </c>
      <c r="C69" t="s">
        <v>505</v>
      </c>
      <c r="D69" s="1">
        <v>44999</v>
      </c>
      <c r="E69">
        <v>606.37</v>
      </c>
      <c r="F69" t="s">
        <v>652</v>
      </c>
      <c r="G69" t="s">
        <v>650</v>
      </c>
      <c r="H69" t="str">
        <f>IF(tblBilling[[#This Row],[amount]]&gt;3000, "High Revenue","Normal")</f>
        <v>Normal</v>
      </c>
    </row>
    <row r="70" spans="1:8" x14ac:dyDescent="0.35">
      <c r="A70" t="s">
        <v>717</v>
      </c>
      <c r="B70" t="s">
        <v>67</v>
      </c>
      <c r="C70" t="s">
        <v>506</v>
      </c>
      <c r="D70" s="1">
        <v>45014</v>
      </c>
      <c r="E70">
        <v>3388.87</v>
      </c>
      <c r="F70" t="s">
        <v>652</v>
      </c>
      <c r="G70" t="s">
        <v>647</v>
      </c>
      <c r="H70" t="str">
        <f>IF(tblBilling[[#This Row],[amount]]&gt;3000, "High Revenue","Normal")</f>
        <v>High Revenue</v>
      </c>
    </row>
    <row r="71" spans="1:8" x14ac:dyDescent="0.35">
      <c r="A71" t="s">
        <v>718</v>
      </c>
      <c r="B71" t="s">
        <v>26</v>
      </c>
      <c r="C71" t="s">
        <v>507</v>
      </c>
      <c r="D71" s="1">
        <v>45164</v>
      </c>
      <c r="E71">
        <v>3231.92</v>
      </c>
      <c r="F71" t="s">
        <v>655</v>
      </c>
      <c r="G71" t="s">
        <v>645</v>
      </c>
      <c r="H71" t="str">
        <f>IF(tblBilling[[#This Row],[amount]]&gt;3000, "High Revenue","Normal")</f>
        <v>High Revenue</v>
      </c>
    </row>
    <row r="72" spans="1:8" x14ac:dyDescent="0.35">
      <c r="A72" t="s">
        <v>719</v>
      </c>
      <c r="B72" t="s">
        <v>11</v>
      </c>
      <c r="C72" t="s">
        <v>508</v>
      </c>
      <c r="D72" s="1">
        <v>44952</v>
      </c>
      <c r="E72">
        <v>2960.14</v>
      </c>
      <c r="F72" t="s">
        <v>655</v>
      </c>
      <c r="G72" t="s">
        <v>647</v>
      </c>
      <c r="H72" t="str">
        <f>IF(tblBilling[[#This Row],[amount]]&gt;3000, "High Revenue","Normal")</f>
        <v>Normal</v>
      </c>
    </row>
    <row r="73" spans="1:8" x14ac:dyDescent="0.35">
      <c r="A73" t="s">
        <v>720</v>
      </c>
      <c r="B73" t="s">
        <v>134</v>
      </c>
      <c r="C73" t="s">
        <v>509</v>
      </c>
      <c r="D73" s="1">
        <v>45089</v>
      </c>
      <c r="E73">
        <v>1543.76</v>
      </c>
      <c r="F73" t="s">
        <v>652</v>
      </c>
      <c r="G73" t="s">
        <v>645</v>
      </c>
      <c r="H73" t="str">
        <f>IF(tblBilling[[#This Row],[amount]]&gt;3000, "High Revenue","Normal")</f>
        <v>Normal</v>
      </c>
    </row>
    <row r="74" spans="1:8" x14ac:dyDescent="0.35">
      <c r="A74" t="s">
        <v>721</v>
      </c>
      <c r="B74" t="s">
        <v>151</v>
      </c>
      <c r="C74" t="s">
        <v>510</v>
      </c>
      <c r="D74" s="1">
        <v>45284</v>
      </c>
      <c r="E74">
        <v>2259.08</v>
      </c>
      <c r="F74" t="s">
        <v>652</v>
      </c>
      <c r="G74" t="s">
        <v>650</v>
      </c>
      <c r="H74" t="str">
        <f>IF(tblBilling[[#This Row],[amount]]&gt;3000, "High Revenue","Normal")</f>
        <v>Normal</v>
      </c>
    </row>
    <row r="75" spans="1:8" x14ac:dyDescent="0.35">
      <c r="A75" t="s">
        <v>722</v>
      </c>
      <c r="B75" t="s">
        <v>60</v>
      </c>
      <c r="C75" t="s">
        <v>511</v>
      </c>
      <c r="D75" s="1">
        <v>45130</v>
      </c>
      <c r="E75">
        <v>3175.14</v>
      </c>
      <c r="F75" t="s">
        <v>652</v>
      </c>
      <c r="G75" t="s">
        <v>650</v>
      </c>
      <c r="H75" t="str">
        <f>IF(tblBilling[[#This Row],[amount]]&gt;3000, "High Revenue","Normal")</f>
        <v>High Revenue</v>
      </c>
    </row>
    <row r="76" spans="1:8" x14ac:dyDescent="0.35">
      <c r="A76" t="s">
        <v>723</v>
      </c>
      <c r="B76" t="s">
        <v>159</v>
      </c>
      <c r="C76" t="s">
        <v>512</v>
      </c>
      <c r="D76" s="1">
        <v>45054</v>
      </c>
      <c r="E76">
        <v>2735.45</v>
      </c>
      <c r="F76" t="s">
        <v>655</v>
      </c>
      <c r="G76" t="s">
        <v>650</v>
      </c>
      <c r="H76" t="str">
        <f>IF(tblBilling[[#This Row],[amount]]&gt;3000, "High Revenue","Normal")</f>
        <v>Normal</v>
      </c>
    </row>
    <row r="77" spans="1:8" x14ac:dyDescent="0.35">
      <c r="A77" t="s">
        <v>724</v>
      </c>
      <c r="B77" t="s">
        <v>162</v>
      </c>
      <c r="C77" t="s">
        <v>513</v>
      </c>
      <c r="D77" s="1">
        <v>45257</v>
      </c>
      <c r="E77">
        <v>4945.03</v>
      </c>
      <c r="F77" t="s">
        <v>652</v>
      </c>
      <c r="G77" t="s">
        <v>645</v>
      </c>
      <c r="H77" t="str">
        <f>IF(tblBilling[[#This Row],[amount]]&gt;3000, "High Revenue","Normal")</f>
        <v>High Revenue</v>
      </c>
    </row>
    <row r="78" spans="1:8" x14ac:dyDescent="0.35">
      <c r="A78" t="s">
        <v>725</v>
      </c>
      <c r="B78" t="s">
        <v>123</v>
      </c>
      <c r="C78" t="s">
        <v>514</v>
      </c>
      <c r="D78" s="1">
        <v>45274</v>
      </c>
      <c r="E78">
        <v>1113.98</v>
      </c>
      <c r="F78" t="s">
        <v>652</v>
      </c>
      <c r="G78" t="s">
        <v>647</v>
      </c>
      <c r="H78" t="str">
        <f>IF(tblBilling[[#This Row],[amount]]&gt;3000, "High Revenue","Normal")</f>
        <v>Normal</v>
      </c>
    </row>
    <row r="79" spans="1:8" x14ac:dyDescent="0.35">
      <c r="A79" t="s">
        <v>726</v>
      </c>
      <c r="B79" t="s">
        <v>69</v>
      </c>
      <c r="C79" t="s">
        <v>515</v>
      </c>
      <c r="D79" s="1">
        <v>45186</v>
      </c>
      <c r="E79">
        <v>3628.15</v>
      </c>
      <c r="F79" t="s">
        <v>652</v>
      </c>
      <c r="G79" t="s">
        <v>647</v>
      </c>
      <c r="H79" t="str">
        <f>IF(tblBilling[[#This Row],[amount]]&gt;3000, "High Revenue","Normal")</f>
        <v>High Revenue</v>
      </c>
    </row>
    <row r="80" spans="1:8" x14ac:dyDescent="0.35">
      <c r="A80" t="s">
        <v>727</v>
      </c>
      <c r="B80" t="s">
        <v>67</v>
      </c>
      <c r="C80" t="s">
        <v>516</v>
      </c>
      <c r="D80" s="1">
        <v>45286</v>
      </c>
      <c r="E80">
        <v>2319.4299999999998</v>
      </c>
      <c r="F80" t="s">
        <v>644</v>
      </c>
      <c r="G80" t="s">
        <v>647</v>
      </c>
      <c r="H80" t="str">
        <f>IF(tblBilling[[#This Row],[amount]]&gt;3000, "High Revenue","Normal")</f>
        <v>Normal</v>
      </c>
    </row>
    <row r="81" spans="1:8" x14ac:dyDescent="0.35">
      <c r="A81" t="s">
        <v>728</v>
      </c>
      <c r="B81" t="s">
        <v>129</v>
      </c>
      <c r="C81" t="s">
        <v>517</v>
      </c>
      <c r="D81" s="1">
        <v>45103</v>
      </c>
      <c r="E81">
        <v>2426.9</v>
      </c>
      <c r="F81" t="s">
        <v>652</v>
      </c>
      <c r="G81" t="s">
        <v>645</v>
      </c>
      <c r="H81" t="str">
        <f>IF(tblBilling[[#This Row],[amount]]&gt;3000, "High Revenue","Normal")</f>
        <v>Normal</v>
      </c>
    </row>
    <row r="82" spans="1:8" x14ac:dyDescent="0.35">
      <c r="A82" t="s">
        <v>729</v>
      </c>
      <c r="B82" t="s">
        <v>168</v>
      </c>
      <c r="C82" t="s">
        <v>518</v>
      </c>
      <c r="D82" s="1">
        <v>44932</v>
      </c>
      <c r="E82">
        <v>3729.19</v>
      </c>
      <c r="F82" t="s">
        <v>644</v>
      </c>
      <c r="G82" t="s">
        <v>645</v>
      </c>
      <c r="H82" t="str">
        <f>IF(tblBilling[[#This Row],[amount]]&gt;3000, "High Revenue","Normal")</f>
        <v>High Revenue</v>
      </c>
    </row>
    <row r="83" spans="1:8" x14ac:dyDescent="0.35">
      <c r="A83" t="s">
        <v>730</v>
      </c>
      <c r="B83" t="s">
        <v>19</v>
      </c>
      <c r="C83" t="s">
        <v>519</v>
      </c>
      <c r="D83" s="1">
        <v>44946</v>
      </c>
      <c r="E83">
        <v>3615.96</v>
      </c>
      <c r="F83" t="s">
        <v>644</v>
      </c>
      <c r="G83" t="s">
        <v>645</v>
      </c>
      <c r="H83" t="str">
        <f>IF(tblBilling[[#This Row],[amount]]&gt;3000, "High Revenue","Normal")</f>
        <v>High Revenue</v>
      </c>
    </row>
    <row r="84" spans="1:8" x14ac:dyDescent="0.35">
      <c r="A84" t="s">
        <v>731</v>
      </c>
      <c r="B84" t="s">
        <v>178</v>
      </c>
      <c r="C84" t="s">
        <v>520</v>
      </c>
      <c r="D84" s="1">
        <v>45237</v>
      </c>
      <c r="E84">
        <v>4960.6499999999996</v>
      </c>
      <c r="F84" t="s">
        <v>652</v>
      </c>
      <c r="G84" t="s">
        <v>645</v>
      </c>
      <c r="H84" t="str">
        <f>IF(tblBilling[[#This Row],[amount]]&gt;3000, "High Revenue","Normal")</f>
        <v>High Revenue</v>
      </c>
    </row>
    <row r="85" spans="1:8" x14ac:dyDescent="0.35">
      <c r="A85" t="s">
        <v>732</v>
      </c>
      <c r="B85" t="s">
        <v>139</v>
      </c>
      <c r="C85" t="s">
        <v>521</v>
      </c>
      <c r="D85" s="1">
        <v>45077</v>
      </c>
      <c r="E85">
        <v>1077.77</v>
      </c>
      <c r="F85" t="s">
        <v>644</v>
      </c>
      <c r="G85" t="s">
        <v>645</v>
      </c>
      <c r="H85" t="str">
        <f>IF(tblBilling[[#This Row],[amount]]&gt;3000, "High Revenue","Normal")</f>
        <v>Normal</v>
      </c>
    </row>
    <row r="86" spans="1:8" x14ac:dyDescent="0.35">
      <c r="A86" t="s">
        <v>733</v>
      </c>
      <c r="B86" t="s">
        <v>104</v>
      </c>
      <c r="C86" t="s">
        <v>522</v>
      </c>
      <c r="D86" s="1">
        <v>44975</v>
      </c>
      <c r="E86">
        <v>968.49</v>
      </c>
      <c r="F86" t="s">
        <v>652</v>
      </c>
      <c r="G86" t="s">
        <v>647</v>
      </c>
      <c r="H86" t="str">
        <f>IF(tblBilling[[#This Row],[amount]]&gt;3000, "High Revenue","Normal")</f>
        <v>Normal</v>
      </c>
    </row>
    <row r="87" spans="1:8" x14ac:dyDescent="0.35">
      <c r="A87" t="s">
        <v>734</v>
      </c>
      <c r="B87" t="s">
        <v>81</v>
      </c>
      <c r="C87" t="s">
        <v>523</v>
      </c>
      <c r="D87" s="1">
        <v>45228</v>
      </c>
      <c r="E87">
        <v>3759.52</v>
      </c>
      <c r="F87" t="s">
        <v>655</v>
      </c>
      <c r="G87" t="s">
        <v>645</v>
      </c>
      <c r="H87" t="str">
        <f>IF(tblBilling[[#This Row],[amount]]&gt;3000, "High Revenue","Normal")</f>
        <v>High Revenue</v>
      </c>
    </row>
    <row r="88" spans="1:8" x14ac:dyDescent="0.35">
      <c r="A88" t="s">
        <v>735</v>
      </c>
      <c r="B88" t="s">
        <v>114</v>
      </c>
      <c r="C88" t="s">
        <v>524</v>
      </c>
      <c r="D88" s="1">
        <v>45218</v>
      </c>
      <c r="E88">
        <v>3102.74</v>
      </c>
      <c r="F88" t="s">
        <v>655</v>
      </c>
      <c r="G88" t="s">
        <v>645</v>
      </c>
      <c r="H88" t="str">
        <f>IF(tblBilling[[#This Row],[amount]]&gt;3000, "High Revenue","Normal")</f>
        <v>High Revenue</v>
      </c>
    </row>
    <row r="89" spans="1:8" x14ac:dyDescent="0.35">
      <c r="A89" t="s">
        <v>736</v>
      </c>
      <c r="B89" t="s">
        <v>52</v>
      </c>
      <c r="C89" t="s">
        <v>525</v>
      </c>
      <c r="D89" s="1">
        <v>45048</v>
      </c>
      <c r="E89">
        <v>1733.72</v>
      </c>
      <c r="F89" t="s">
        <v>655</v>
      </c>
      <c r="G89" t="s">
        <v>647</v>
      </c>
      <c r="H89" t="str">
        <f>IF(tblBilling[[#This Row],[amount]]&gt;3000, "High Revenue","Normal")</f>
        <v>Normal</v>
      </c>
    </row>
    <row r="90" spans="1:8" x14ac:dyDescent="0.35">
      <c r="A90" t="s">
        <v>737</v>
      </c>
      <c r="B90" t="s">
        <v>123</v>
      </c>
      <c r="C90" t="s">
        <v>526</v>
      </c>
      <c r="D90" s="1">
        <v>44971</v>
      </c>
      <c r="E90">
        <v>857.39</v>
      </c>
      <c r="F90" t="s">
        <v>655</v>
      </c>
      <c r="G90" t="s">
        <v>645</v>
      </c>
      <c r="H90" t="str">
        <f>IF(tblBilling[[#This Row],[amount]]&gt;3000, "High Revenue","Normal")</f>
        <v>Normal</v>
      </c>
    </row>
    <row r="91" spans="1:8" x14ac:dyDescent="0.35">
      <c r="A91" t="s">
        <v>738</v>
      </c>
      <c r="B91" t="s">
        <v>114</v>
      </c>
      <c r="C91" t="s">
        <v>527</v>
      </c>
      <c r="D91" s="1">
        <v>45078</v>
      </c>
      <c r="E91">
        <v>885.46</v>
      </c>
      <c r="F91" t="s">
        <v>644</v>
      </c>
      <c r="G91" t="s">
        <v>647</v>
      </c>
      <c r="H91" t="str">
        <f>IF(tblBilling[[#This Row],[amount]]&gt;3000, "High Revenue","Normal")</f>
        <v>Normal</v>
      </c>
    </row>
    <row r="92" spans="1:8" x14ac:dyDescent="0.35">
      <c r="A92" t="s">
        <v>739</v>
      </c>
      <c r="B92" t="s">
        <v>60</v>
      </c>
      <c r="C92" t="s">
        <v>528</v>
      </c>
      <c r="D92" s="1">
        <v>45088</v>
      </c>
      <c r="E92">
        <v>4523.8599999999997</v>
      </c>
      <c r="F92" t="s">
        <v>652</v>
      </c>
      <c r="G92" t="s">
        <v>647</v>
      </c>
      <c r="H92" t="str">
        <f>IF(tblBilling[[#This Row],[amount]]&gt;3000, "High Revenue","Normal")</f>
        <v>High Revenue</v>
      </c>
    </row>
    <row r="93" spans="1:8" x14ac:dyDescent="0.35">
      <c r="A93" t="s">
        <v>740</v>
      </c>
      <c r="B93" t="s">
        <v>114</v>
      </c>
      <c r="C93" t="s">
        <v>529</v>
      </c>
      <c r="D93" s="1">
        <v>44956</v>
      </c>
      <c r="E93">
        <v>1363.4</v>
      </c>
      <c r="F93" t="s">
        <v>652</v>
      </c>
      <c r="G93" t="s">
        <v>650</v>
      </c>
      <c r="H93" t="str">
        <f>IF(tblBilling[[#This Row],[amount]]&gt;3000, "High Revenue","Normal")</f>
        <v>Normal</v>
      </c>
    </row>
    <row r="94" spans="1:8" x14ac:dyDescent="0.35">
      <c r="A94" t="s">
        <v>741</v>
      </c>
      <c r="B94" t="s">
        <v>136</v>
      </c>
      <c r="C94" t="s">
        <v>530</v>
      </c>
      <c r="D94" s="1">
        <v>45025</v>
      </c>
      <c r="E94">
        <v>1955.17</v>
      </c>
      <c r="F94" t="s">
        <v>652</v>
      </c>
      <c r="G94" t="s">
        <v>650</v>
      </c>
      <c r="H94" t="str">
        <f>IF(tblBilling[[#This Row],[amount]]&gt;3000, "High Revenue","Normal")</f>
        <v>Normal</v>
      </c>
    </row>
    <row r="95" spans="1:8" x14ac:dyDescent="0.35">
      <c r="A95" t="s">
        <v>742</v>
      </c>
      <c r="B95" t="s">
        <v>154</v>
      </c>
      <c r="C95" t="s">
        <v>531</v>
      </c>
      <c r="D95" s="1">
        <v>45024</v>
      </c>
      <c r="E95">
        <v>1519.95</v>
      </c>
      <c r="F95" t="s">
        <v>655</v>
      </c>
      <c r="G95" t="s">
        <v>650</v>
      </c>
      <c r="H95" t="str">
        <f>IF(tblBilling[[#This Row],[amount]]&gt;3000, "High Revenue","Normal")</f>
        <v>Normal</v>
      </c>
    </row>
    <row r="96" spans="1:8" x14ac:dyDescent="0.35">
      <c r="A96" t="s">
        <v>743</v>
      </c>
      <c r="B96" t="s">
        <v>48</v>
      </c>
      <c r="C96" t="s">
        <v>532</v>
      </c>
      <c r="D96" s="1">
        <v>45055</v>
      </c>
      <c r="E96">
        <v>2097.48</v>
      </c>
      <c r="F96" t="s">
        <v>655</v>
      </c>
      <c r="G96" t="s">
        <v>650</v>
      </c>
      <c r="H96" t="str">
        <f>IF(tblBilling[[#This Row],[amount]]&gt;3000, "High Revenue","Normal")</f>
        <v>Normal</v>
      </c>
    </row>
    <row r="97" spans="1:8" x14ac:dyDescent="0.35">
      <c r="A97" t="s">
        <v>744</v>
      </c>
      <c r="B97" t="s">
        <v>32</v>
      </c>
      <c r="C97" t="s">
        <v>533</v>
      </c>
      <c r="D97" s="1">
        <v>45114</v>
      </c>
      <c r="E97">
        <v>812.41</v>
      </c>
      <c r="F97" t="s">
        <v>652</v>
      </c>
      <c r="G97" t="s">
        <v>645</v>
      </c>
      <c r="H97" t="str">
        <f>IF(tblBilling[[#This Row],[amount]]&gt;3000, "High Revenue","Normal")</f>
        <v>Normal</v>
      </c>
    </row>
    <row r="98" spans="1:8" x14ac:dyDescent="0.35">
      <c r="A98" t="s">
        <v>745</v>
      </c>
      <c r="B98" t="s">
        <v>178</v>
      </c>
      <c r="C98" t="s">
        <v>534</v>
      </c>
      <c r="D98" s="1">
        <v>45052</v>
      </c>
      <c r="E98">
        <v>2835.77</v>
      </c>
      <c r="F98" t="s">
        <v>655</v>
      </c>
      <c r="G98" t="s">
        <v>650</v>
      </c>
      <c r="H98" t="str">
        <f>IF(tblBilling[[#This Row],[amount]]&gt;3000, "High Revenue","Normal")</f>
        <v>Normal</v>
      </c>
    </row>
    <row r="99" spans="1:8" x14ac:dyDescent="0.35">
      <c r="A99" t="s">
        <v>746</v>
      </c>
      <c r="B99" t="s">
        <v>165</v>
      </c>
      <c r="C99" t="s">
        <v>535</v>
      </c>
      <c r="D99" s="1">
        <v>45002</v>
      </c>
      <c r="E99">
        <v>804.26</v>
      </c>
      <c r="F99" t="s">
        <v>652</v>
      </c>
      <c r="G99" t="s">
        <v>647</v>
      </c>
      <c r="H99" t="str">
        <f>IF(tblBilling[[#This Row],[amount]]&gt;3000, "High Revenue","Normal")</f>
        <v>Normal</v>
      </c>
    </row>
    <row r="100" spans="1:8" x14ac:dyDescent="0.35">
      <c r="A100" t="s">
        <v>747</v>
      </c>
      <c r="B100" t="s">
        <v>64</v>
      </c>
      <c r="C100" t="s">
        <v>536</v>
      </c>
      <c r="D100" s="1">
        <v>45111</v>
      </c>
      <c r="E100">
        <v>4101.6000000000004</v>
      </c>
      <c r="F100" t="s">
        <v>652</v>
      </c>
      <c r="G100" t="s">
        <v>645</v>
      </c>
      <c r="H100" t="str">
        <f>IF(tblBilling[[#This Row],[amount]]&gt;3000, "High Revenue","Normal")</f>
        <v>High Revenue</v>
      </c>
    </row>
    <row r="101" spans="1:8" x14ac:dyDescent="0.35">
      <c r="A101" t="s">
        <v>748</v>
      </c>
      <c r="B101" t="s">
        <v>123</v>
      </c>
      <c r="C101" t="s">
        <v>537</v>
      </c>
      <c r="D101" s="1">
        <v>44987</v>
      </c>
      <c r="E101">
        <v>1551.7</v>
      </c>
      <c r="F101" t="s">
        <v>652</v>
      </c>
      <c r="G101" t="s">
        <v>650</v>
      </c>
      <c r="H101" t="str">
        <f>IF(tblBilling[[#This Row],[amount]]&gt;3000, "High Revenue","Normal")</f>
        <v>Normal</v>
      </c>
    </row>
    <row r="102" spans="1:8" x14ac:dyDescent="0.35">
      <c r="A102" t="s">
        <v>749</v>
      </c>
      <c r="B102" t="s">
        <v>141</v>
      </c>
      <c r="C102" t="s">
        <v>538</v>
      </c>
      <c r="D102" s="1">
        <v>45190</v>
      </c>
      <c r="E102">
        <v>2930.05</v>
      </c>
      <c r="F102" t="s">
        <v>652</v>
      </c>
      <c r="G102" t="s">
        <v>647</v>
      </c>
      <c r="H102" t="str">
        <f>IF(tblBilling[[#This Row],[amount]]&gt;3000, "High Revenue","Normal")</f>
        <v>Normal</v>
      </c>
    </row>
    <row r="103" spans="1:8" x14ac:dyDescent="0.35">
      <c r="A103" t="s">
        <v>750</v>
      </c>
      <c r="B103" t="s">
        <v>110</v>
      </c>
      <c r="C103" t="s">
        <v>539</v>
      </c>
      <c r="D103" s="1">
        <v>45224</v>
      </c>
      <c r="E103">
        <v>4460.3599999999997</v>
      </c>
      <c r="F103" t="s">
        <v>652</v>
      </c>
      <c r="G103" t="s">
        <v>645</v>
      </c>
      <c r="H103" t="str">
        <f>IF(tblBilling[[#This Row],[amount]]&gt;3000, "High Revenue","Normal")</f>
        <v>High Revenue</v>
      </c>
    </row>
    <row r="104" spans="1:8" x14ac:dyDescent="0.35">
      <c r="A104" t="s">
        <v>751</v>
      </c>
      <c r="B104" t="s">
        <v>96</v>
      </c>
      <c r="C104" t="s">
        <v>540</v>
      </c>
      <c r="D104" s="1">
        <v>44950</v>
      </c>
      <c r="E104">
        <v>3428.95</v>
      </c>
      <c r="F104" t="s">
        <v>652</v>
      </c>
      <c r="G104" t="s">
        <v>645</v>
      </c>
      <c r="H104" t="str">
        <f>IF(tblBilling[[#This Row],[amount]]&gt;3000, "High Revenue","Normal")</f>
        <v>High Revenue</v>
      </c>
    </row>
    <row r="105" spans="1:8" x14ac:dyDescent="0.35">
      <c r="A105" t="s">
        <v>752</v>
      </c>
      <c r="B105" t="s">
        <v>141</v>
      </c>
      <c r="C105" t="s">
        <v>541</v>
      </c>
      <c r="D105" s="1">
        <v>45034</v>
      </c>
      <c r="E105">
        <v>2898.31</v>
      </c>
      <c r="F105" t="s">
        <v>652</v>
      </c>
      <c r="G105" t="s">
        <v>650</v>
      </c>
      <c r="H105" t="str">
        <f>IF(tblBilling[[#This Row],[amount]]&gt;3000, "High Revenue","Normal")</f>
        <v>Normal</v>
      </c>
    </row>
    <row r="106" spans="1:8" x14ac:dyDescent="0.35">
      <c r="A106" t="s">
        <v>753</v>
      </c>
      <c r="B106" t="s">
        <v>60</v>
      </c>
      <c r="C106" t="s">
        <v>542</v>
      </c>
      <c r="D106" s="1">
        <v>45152</v>
      </c>
      <c r="E106">
        <v>1959.5</v>
      </c>
      <c r="F106" t="s">
        <v>655</v>
      </c>
      <c r="G106" t="s">
        <v>645</v>
      </c>
      <c r="H106" t="str">
        <f>IF(tblBilling[[#This Row],[amount]]&gt;3000, "High Revenue","Normal")</f>
        <v>Normal</v>
      </c>
    </row>
    <row r="107" spans="1:8" x14ac:dyDescent="0.35">
      <c r="A107" t="s">
        <v>754</v>
      </c>
      <c r="B107" t="s">
        <v>143</v>
      </c>
      <c r="C107" t="s">
        <v>543</v>
      </c>
      <c r="D107" s="1">
        <v>45228</v>
      </c>
      <c r="E107">
        <v>1998.51</v>
      </c>
      <c r="F107" t="s">
        <v>652</v>
      </c>
      <c r="G107" t="s">
        <v>647</v>
      </c>
      <c r="H107" t="str">
        <f>IF(tblBilling[[#This Row],[amount]]&gt;3000, "High Revenue","Normal")</f>
        <v>Normal</v>
      </c>
    </row>
    <row r="108" spans="1:8" x14ac:dyDescent="0.35">
      <c r="A108" t="s">
        <v>755</v>
      </c>
      <c r="B108" t="s">
        <v>57</v>
      </c>
      <c r="C108" t="s">
        <v>544</v>
      </c>
      <c r="D108" s="1">
        <v>45033</v>
      </c>
      <c r="E108">
        <v>3512.69</v>
      </c>
      <c r="F108" t="s">
        <v>652</v>
      </c>
      <c r="G108" t="s">
        <v>645</v>
      </c>
      <c r="H108" t="str">
        <f>IF(tblBilling[[#This Row],[amount]]&gt;3000, "High Revenue","Normal")</f>
        <v>High Revenue</v>
      </c>
    </row>
    <row r="109" spans="1:8" x14ac:dyDescent="0.35">
      <c r="A109" t="s">
        <v>756</v>
      </c>
      <c r="B109" t="s">
        <v>107</v>
      </c>
      <c r="C109" t="s">
        <v>545</v>
      </c>
      <c r="D109" s="1">
        <v>45037</v>
      </c>
      <c r="E109">
        <v>4973.63</v>
      </c>
      <c r="F109" t="s">
        <v>655</v>
      </c>
      <c r="G109" t="s">
        <v>647</v>
      </c>
      <c r="H109" t="str">
        <f>IF(tblBilling[[#This Row],[amount]]&gt;3000, "High Revenue","Normal")</f>
        <v>High Revenue</v>
      </c>
    </row>
    <row r="110" spans="1:8" x14ac:dyDescent="0.35">
      <c r="A110" t="s">
        <v>757</v>
      </c>
      <c r="B110" t="s">
        <v>139</v>
      </c>
      <c r="C110" t="s">
        <v>546</v>
      </c>
      <c r="D110" s="1">
        <v>45136</v>
      </c>
      <c r="E110">
        <v>3478.28</v>
      </c>
      <c r="F110" t="s">
        <v>655</v>
      </c>
      <c r="G110" t="s">
        <v>645</v>
      </c>
      <c r="H110" t="str">
        <f>IF(tblBilling[[#This Row],[amount]]&gt;3000, "High Revenue","Normal")</f>
        <v>High Revenue</v>
      </c>
    </row>
    <row r="111" spans="1:8" x14ac:dyDescent="0.35">
      <c r="A111" t="s">
        <v>758</v>
      </c>
      <c r="B111" t="s">
        <v>175</v>
      </c>
      <c r="C111" t="s">
        <v>547</v>
      </c>
      <c r="D111" s="1">
        <v>45126</v>
      </c>
      <c r="E111">
        <v>3010.03</v>
      </c>
      <c r="F111" t="s">
        <v>655</v>
      </c>
      <c r="G111" t="s">
        <v>650</v>
      </c>
      <c r="H111" t="str">
        <f>IF(tblBilling[[#This Row],[amount]]&gt;3000, "High Revenue","Normal")</f>
        <v>High Revenue</v>
      </c>
    </row>
    <row r="112" spans="1:8" x14ac:dyDescent="0.35">
      <c r="A112" t="s">
        <v>759</v>
      </c>
      <c r="B112" t="s">
        <v>139</v>
      </c>
      <c r="C112" t="s">
        <v>548</v>
      </c>
      <c r="D112" s="1">
        <v>45068</v>
      </c>
      <c r="E112">
        <v>3787.93</v>
      </c>
      <c r="F112" t="s">
        <v>652</v>
      </c>
      <c r="G112" t="s">
        <v>647</v>
      </c>
      <c r="H112" t="str">
        <f>IF(tblBilling[[#This Row],[amount]]&gt;3000, "High Revenue","Normal")</f>
        <v>High Revenue</v>
      </c>
    </row>
    <row r="113" spans="1:8" x14ac:dyDescent="0.35">
      <c r="A113" t="s">
        <v>760</v>
      </c>
      <c r="B113" t="s">
        <v>172</v>
      </c>
      <c r="C113" t="s">
        <v>549</v>
      </c>
      <c r="D113" s="1">
        <v>44937</v>
      </c>
      <c r="E113">
        <v>2593.4299999999998</v>
      </c>
      <c r="F113" t="s">
        <v>644</v>
      </c>
      <c r="G113" t="s">
        <v>645</v>
      </c>
      <c r="H113" t="str">
        <f>IF(tblBilling[[#This Row],[amount]]&gt;3000, "High Revenue","Normal")</f>
        <v>Normal</v>
      </c>
    </row>
    <row r="114" spans="1:8" x14ac:dyDescent="0.35">
      <c r="A114" t="s">
        <v>761</v>
      </c>
      <c r="B114" t="s">
        <v>141</v>
      </c>
      <c r="C114" t="s">
        <v>550</v>
      </c>
      <c r="D114" s="1">
        <v>45254</v>
      </c>
      <c r="E114">
        <v>770.64</v>
      </c>
      <c r="F114" t="s">
        <v>644</v>
      </c>
      <c r="G114" t="s">
        <v>645</v>
      </c>
      <c r="H114" t="str">
        <f>IF(tblBilling[[#This Row],[amount]]&gt;3000, "High Revenue","Normal")</f>
        <v>Normal</v>
      </c>
    </row>
    <row r="115" spans="1:8" x14ac:dyDescent="0.35">
      <c r="A115" t="s">
        <v>762</v>
      </c>
      <c r="B115" t="s">
        <v>85</v>
      </c>
      <c r="C115" t="s">
        <v>551</v>
      </c>
      <c r="D115" s="1">
        <v>45146</v>
      </c>
      <c r="E115">
        <v>3030.34</v>
      </c>
      <c r="F115" t="s">
        <v>655</v>
      </c>
      <c r="G115" t="s">
        <v>645</v>
      </c>
      <c r="H115" t="str">
        <f>IF(tblBilling[[#This Row],[amount]]&gt;3000, "High Revenue","Normal")</f>
        <v>High Revenue</v>
      </c>
    </row>
    <row r="116" spans="1:8" x14ac:dyDescent="0.35">
      <c r="A116" t="s">
        <v>763</v>
      </c>
      <c r="B116" t="s">
        <v>175</v>
      </c>
      <c r="C116" t="s">
        <v>552</v>
      </c>
      <c r="D116" s="1">
        <v>45224</v>
      </c>
      <c r="E116">
        <v>4809.3100000000004</v>
      </c>
      <c r="F116" t="s">
        <v>644</v>
      </c>
      <c r="G116" t="s">
        <v>647</v>
      </c>
      <c r="H116" t="str">
        <f>IF(tblBilling[[#This Row],[amount]]&gt;3000, "High Revenue","Normal")</f>
        <v>High Revenue</v>
      </c>
    </row>
    <row r="117" spans="1:8" x14ac:dyDescent="0.35">
      <c r="A117" t="s">
        <v>764</v>
      </c>
      <c r="B117" t="s">
        <v>148</v>
      </c>
      <c r="C117" t="s">
        <v>553</v>
      </c>
      <c r="D117" s="1">
        <v>45114</v>
      </c>
      <c r="E117">
        <v>1288.8599999999999</v>
      </c>
      <c r="F117" t="s">
        <v>655</v>
      </c>
      <c r="G117" t="s">
        <v>647</v>
      </c>
      <c r="H117" t="str">
        <f>IF(tblBilling[[#This Row],[amount]]&gt;3000, "High Revenue","Normal")</f>
        <v>Normal</v>
      </c>
    </row>
    <row r="118" spans="1:8" x14ac:dyDescent="0.35">
      <c r="A118" t="s">
        <v>765</v>
      </c>
      <c r="B118" t="s">
        <v>132</v>
      </c>
      <c r="C118" t="s">
        <v>554</v>
      </c>
      <c r="D118" s="1">
        <v>45097</v>
      </c>
      <c r="E118">
        <v>3605.02</v>
      </c>
      <c r="F118" t="s">
        <v>652</v>
      </c>
      <c r="G118" t="s">
        <v>647</v>
      </c>
      <c r="H118" t="str">
        <f>IF(tblBilling[[#This Row],[amount]]&gt;3000, "High Revenue","Normal")</f>
        <v>High Revenue</v>
      </c>
    </row>
    <row r="119" spans="1:8" x14ac:dyDescent="0.35">
      <c r="A119" t="s">
        <v>766</v>
      </c>
      <c r="B119" t="s">
        <v>107</v>
      </c>
      <c r="C119" t="s">
        <v>555</v>
      </c>
      <c r="D119" s="1">
        <v>45147</v>
      </c>
      <c r="E119">
        <v>1404.2</v>
      </c>
      <c r="F119" t="s">
        <v>644</v>
      </c>
      <c r="G119" t="s">
        <v>650</v>
      </c>
      <c r="H119" t="str">
        <f>IF(tblBilling[[#This Row],[amount]]&gt;3000, "High Revenue","Normal")</f>
        <v>Normal</v>
      </c>
    </row>
    <row r="120" spans="1:8" x14ac:dyDescent="0.35">
      <c r="A120" t="s">
        <v>767</v>
      </c>
      <c r="B120" t="s">
        <v>104</v>
      </c>
      <c r="C120" t="s">
        <v>556</v>
      </c>
      <c r="D120" s="1">
        <v>45278</v>
      </c>
      <c r="E120">
        <v>2911.22</v>
      </c>
      <c r="F120" t="s">
        <v>652</v>
      </c>
      <c r="G120" t="s">
        <v>650</v>
      </c>
      <c r="H120" t="str">
        <f>IF(tblBilling[[#This Row],[amount]]&gt;3000, "High Revenue","Normal")</f>
        <v>Normal</v>
      </c>
    </row>
    <row r="121" spans="1:8" x14ac:dyDescent="0.35">
      <c r="A121" t="s">
        <v>768</v>
      </c>
      <c r="B121" t="s">
        <v>132</v>
      </c>
      <c r="C121" t="s">
        <v>557</v>
      </c>
      <c r="D121" s="1">
        <v>45268</v>
      </c>
      <c r="E121">
        <v>935.04</v>
      </c>
      <c r="F121" t="s">
        <v>644</v>
      </c>
      <c r="G121" t="s">
        <v>647</v>
      </c>
      <c r="H121" t="str">
        <f>IF(tblBilling[[#This Row],[amount]]&gt;3000, "High Revenue","Normal")</f>
        <v>Normal</v>
      </c>
    </row>
    <row r="122" spans="1:8" x14ac:dyDescent="0.35">
      <c r="A122" t="s">
        <v>769</v>
      </c>
      <c r="B122" t="s">
        <v>143</v>
      </c>
      <c r="C122" t="s">
        <v>558</v>
      </c>
      <c r="D122" s="1">
        <v>45023</v>
      </c>
      <c r="E122">
        <v>2526.67</v>
      </c>
      <c r="F122" t="s">
        <v>652</v>
      </c>
      <c r="G122" t="s">
        <v>645</v>
      </c>
      <c r="H122" t="str">
        <f>IF(tblBilling[[#This Row],[amount]]&gt;3000, "High Revenue","Normal")</f>
        <v>Normal</v>
      </c>
    </row>
    <row r="123" spans="1:8" x14ac:dyDescent="0.35">
      <c r="A123" t="s">
        <v>770</v>
      </c>
      <c r="B123" t="s">
        <v>67</v>
      </c>
      <c r="C123" t="s">
        <v>559</v>
      </c>
      <c r="D123" s="1">
        <v>45118</v>
      </c>
      <c r="E123">
        <v>3902.73</v>
      </c>
      <c r="F123" t="s">
        <v>644</v>
      </c>
      <c r="G123" t="s">
        <v>650</v>
      </c>
      <c r="H123" t="str">
        <f>IF(tblBilling[[#This Row],[amount]]&gt;3000, "High Revenue","Normal")</f>
        <v>High Revenue</v>
      </c>
    </row>
    <row r="124" spans="1:8" x14ac:dyDescent="0.35">
      <c r="A124" t="s">
        <v>771</v>
      </c>
      <c r="B124" t="s">
        <v>175</v>
      </c>
      <c r="C124" t="s">
        <v>560</v>
      </c>
      <c r="D124" s="1">
        <v>44985</v>
      </c>
      <c r="E124">
        <v>2064.0700000000002</v>
      </c>
      <c r="F124" t="s">
        <v>652</v>
      </c>
      <c r="G124" t="s">
        <v>647</v>
      </c>
      <c r="H124" t="str">
        <f>IF(tblBilling[[#This Row],[amount]]&gt;3000, "High Revenue","Normal")</f>
        <v>Normal</v>
      </c>
    </row>
    <row r="125" spans="1:8" x14ac:dyDescent="0.35">
      <c r="A125" t="s">
        <v>772</v>
      </c>
      <c r="B125" t="s">
        <v>69</v>
      </c>
      <c r="C125" t="s">
        <v>561</v>
      </c>
      <c r="D125" s="1">
        <v>45001</v>
      </c>
      <c r="E125">
        <v>3492.1</v>
      </c>
      <c r="F125" t="s">
        <v>652</v>
      </c>
      <c r="G125" t="s">
        <v>645</v>
      </c>
      <c r="H125" t="str">
        <f>IF(tblBilling[[#This Row],[amount]]&gt;3000, "High Revenue","Normal")</f>
        <v>High Revenue</v>
      </c>
    </row>
    <row r="126" spans="1:8" x14ac:dyDescent="0.35">
      <c r="A126" t="s">
        <v>773</v>
      </c>
      <c r="B126" t="s">
        <v>104</v>
      </c>
      <c r="C126" t="s">
        <v>562</v>
      </c>
      <c r="D126" s="1">
        <v>44975</v>
      </c>
      <c r="E126">
        <v>4079.52</v>
      </c>
      <c r="F126" t="s">
        <v>644</v>
      </c>
      <c r="G126" t="s">
        <v>650</v>
      </c>
      <c r="H126" t="str">
        <f>IF(tblBilling[[#This Row],[amount]]&gt;3000, "High Revenue","Normal")</f>
        <v>High Revenue</v>
      </c>
    </row>
    <row r="127" spans="1:8" x14ac:dyDescent="0.35">
      <c r="A127" t="s">
        <v>774</v>
      </c>
      <c r="B127" t="s">
        <v>110</v>
      </c>
      <c r="C127" t="s">
        <v>563</v>
      </c>
      <c r="D127" s="1">
        <v>45232</v>
      </c>
      <c r="E127">
        <v>4672.3</v>
      </c>
      <c r="F127" t="s">
        <v>652</v>
      </c>
      <c r="G127" t="s">
        <v>645</v>
      </c>
      <c r="H127" t="str">
        <f>IF(tblBilling[[#This Row],[amount]]&gt;3000, "High Revenue","Normal")</f>
        <v>High Revenue</v>
      </c>
    </row>
    <row r="128" spans="1:8" x14ac:dyDescent="0.35">
      <c r="A128" t="s">
        <v>775</v>
      </c>
      <c r="B128" t="s">
        <v>139</v>
      </c>
      <c r="C128" t="s">
        <v>564</v>
      </c>
      <c r="D128" s="1">
        <v>45243</v>
      </c>
      <c r="E128">
        <v>1555.89</v>
      </c>
      <c r="F128" t="s">
        <v>652</v>
      </c>
      <c r="G128" t="s">
        <v>645</v>
      </c>
      <c r="H128" t="str">
        <f>IF(tblBilling[[#This Row],[amount]]&gt;3000, "High Revenue","Normal")</f>
        <v>Normal</v>
      </c>
    </row>
    <row r="129" spans="1:8" x14ac:dyDescent="0.35">
      <c r="A129" t="s">
        <v>776</v>
      </c>
      <c r="B129" t="s">
        <v>154</v>
      </c>
      <c r="C129" t="s">
        <v>565</v>
      </c>
      <c r="D129" s="1">
        <v>45031</v>
      </c>
      <c r="E129">
        <v>2296.92</v>
      </c>
      <c r="F129" t="s">
        <v>652</v>
      </c>
      <c r="G129" t="s">
        <v>645</v>
      </c>
      <c r="H129" t="str">
        <f>IF(tblBilling[[#This Row],[amount]]&gt;3000, "High Revenue","Normal")</f>
        <v>Normal</v>
      </c>
    </row>
    <row r="130" spans="1:8" x14ac:dyDescent="0.35">
      <c r="A130" t="s">
        <v>777</v>
      </c>
      <c r="B130" t="s">
        <v>126</v>
      </c>
      <c r="C130" t="s">
        <v>566</v>
      </c>
      <c r="D130" s="1">
        <v>45163</v>
      </c>
      <c r="E130">
        <v>1185.8699999999999</v>
      </c>
      <c r="F130" t="s">
        <v>644</v>
      </c>
      <c r="G130" t="s">
        <v>645</v>
      </c>
      <c r="H130" t="str">
        <f>IF(tblBilling[[#This Row],[amount]]&gt;3000, "High Revenue","Normal")</f>
        <v>Normal</v>
      </c>
    </row>
    <row r="131" spans="1:8" x14ac:dyDescent="0.35">
      <c r="A131" t="s">
        <v>778</v>
      </c>
      <c r="B131" t="s">
        <v>81</v>
      </c>
      <c r="C131" t="s">
        <v>567</v>
      </c>
      <c r="D131" s="1">
        <v>44980</v>
      </c>
      <c r="E131">
        <v>4966.18</v>
      </c>
      <c r="F131" t="s">
        <v>644</v>
      </c>
      <c r="G131" t="s">
        <v>650</v>
      </c>
      <c r="H131" t="str">
        <f>IF(tblBilling[[#This Row],[amount]]&gt;3000, "High Revenue","Normal")</f>
        <v>High Revenue</v>
      </c>
    </row>
    <row r="132" spans="1:8" x14ac:dyDescent="0.35">
      <c r="A132" t="s">
        <v>779</v>
      </c>
      <c r="B132" t="s">
        <v>175</v>
      </c>
      <c r="C132" t="s">
        <v>568</v>
      </c>
      <c r="D132" s="1">
        <v>45057</v>
      </c>
      <c r="E132">
        <v>4671.5</v>
      </c>
      <c r="F132" t="s">
        <v>652</v>
      </c>
      <c r="G132" t="s">
        <v>650</v>
      </c>
      <c r="H132" t="str">
        <f>IF(tblBilling[[#This Row],[amount]]&gt;3000, "High Revenue","Normal")</f>
        <v>High Revenue</v>
      </c>
    </row>
    <row r="133" spans="1:8" x14ac:dyDescent="0.35">
      <c r="A133" t="s">
        <v>780</v>
      </c>
      <c r="B133" t="s">
        <v>92</v>
      </c>
      <c r="C133" t="s">
        <v>569</v>
      </c>
      <c r="D133" s="1">
        <v>45133</v>
      </c>
      <c r="E133">
        <v>2929.81</v>
      </c>
      <c r="F133" t="s">
        <v>652</v>
      </c>
      <c r="G133" t="s">
        <v>650</v>
      </c>
      <c r="H133" t="str">
        <f>IF(tblBilling[[#This Row],[amount]]&gt;3000, "High Revenue","Normal")</f>
        <v>Normal</v>
      </c>
    </row>
    <row r="134" spans="1:8" x14ac:dyDescent="0.35">
      <c r="A134" t="s">
        <v>781</v>
      </c>
      <c r="B134" t="s">
        <v>172</v>
      </c>
      <c r="C134" t="s">
        <v>570</v>
      </c>
      <c r="D134" s="1">
        <v>45008</v>
      </c>
      <c r="E134">
        <v>4289.1499999999996</v>
      </c>
      <c r="F134" t="s">
        <v>644</v>
      </c>
      <c r="G134" t="s">
        <v>647</v>
      </c>
      <c r="H134" t="str">
        <f>IF(tblBilling[[#This Row],[amount]]&gt;3000, "High Revenue","Normal")</f>
        <v>High Revenue</v>
      </c>
    </row>
    <row r="135" spans="1:8" x14ac:dyDescent="0.35">
      <c r="A135" t="s">
        <v>782</v>
      </c>
      <c r="B135" t="s">
        <v>110</v>
      </c>
      <c r="C135" t="s">
        <v>571</v>
      </c>
      <c r="D135" s="1">
        <v>45216</v>
      </c>
      <c r="E135">
        <v>2844.31</v>
      </c>
      <c r="F135" t="s">
        <v>644</v>
      </c>
      <c r="G135" t="s">
        <v>650</v>
      </c>
      <c r="H135" t="str">
        <f>IF(tblBilling[[#This Row],[amount]]&gt;3000, "High Revenue","Normal")</f>
        <v>Normal</v>
      </c>
    </row>
    <row r="136" spans="1:8" x14ac:dyDescent="0.35">
      <c r="A136" t="s">
        <v>783</v>
      </c>
      <c r="B136" t="s">
        <v>99</v>
      </c>
      <c r="C136" t="s">
        <v>572</v>
      </c>
      <c r="D136" s="1">
        <v>45178</v>
      </c>
      <c r="E136">
        <v>3306.14</v>
      </c>
      <c r="F136" t="s">
        <v>652</v>
      </c>
      <c r="G136" t="s">
        <v>645</v>
      </c>
      <c r="H136" t="str">
        <f>IF(tblBilling[[#This Row],[amount]]&gt;3000, "High Revenue","Normal")</f>
        <v>High Revenue</v>
      </c>
    </row>
    <row r="137" spans="1:8" x14ac:dyDescent="0.35">
      <c r="A137" t="s">
        <v>784</v>
      </c>
      <c r="B137" t="s">
        <v>69</v>
      </c>
      <c r="C137" t="s">
        <v>573</v>
      </c>
      <c r="D137" s="1">
        <v>45059</v>
      </c>
      <c r="E137">
        <v>901.06</v>
      </c>
      <c r="F137" t="s">
        <v>652</v>
      </c>
      <c r="G137" t="s">
        <v>650</v>
      </c>
      <c r="H137" t="str">
        <f>IF(tblBilling[[#This Row],[amount]]&gt;3000, "High Revenue","Normal")</f>
        <v>Normal</v>
      </c>
    </row>
    <row r="138" spans="1:8" x14ac:dyDescent="0.35">
      <c r="A138" t="s">
        <v>785</v>
      </c>
      <c r="B138" t="s">
        <v>88</v>
      </c>
      <c r="C138" t="s">
        <v>574</v>
      </c>
      <c r="D138" s="1">
        <v>45224</v>
      </c>
      <c r="E138">
        <v>3898.72</v>
      </c>
      <c r="F138" t="s">
        <v>652</v>
      </c>
      <c r="G138" t="s">
        <v>645</v>
      </c>
      <c r="H138" t="str">
        <f>IF(tblBilling[[#This Row],[amount]]&gt;3000, "High Revenue","Normal")</f>
        <v>High Revenue</v>
      </c>
    </row>
    <row r="139" spans="1:8" x14ac:dyDescent="0.35">
      <c r="A139" t="s">
        <v>786</v>
      </c>
      <c r="B139" t="s">
        <v>175</v>
      </c>
      <c r="C139" t="s">
        <v>575</v>
      </c>
      <c r="D139" s="1">
        <v>45286</v>
      </c>
      <c r="E139">
        <v>1074.71</v>
      </c>
      <c r="F139" t="s">
        <v>655</v>
      </c>
      <c r="G139" t="s">
        <v>647</v>
      </c>
      <c r="H139" t="str">
        <f>IF(tblBilling[[#This Row],[amount]]&gt;3000, "High Revenue","Normal")</f>
        <v>Normal</v>
      </c>
    </row>
    <row r="140" spans="1:8" x14ac:dyDescent="0.35">
      <c r="A140" t="s">
        <v>787</v>
      </c>
      <c r="B140" t="s">
        <v>141</v>
      </c>
      <c r="C140" t="s">
        <v>576</v>
      </c>
      <c r="D140" s="1">
        <v>45209</v>
      </c>
      <c r="E140">
        <v>4217.3</v>
      </c>
      <c r="F140" t="s">
        <v>644</v>
      </c>
      <c r="G140" t="s">
        <v>645</v>
      </c>
      <c r="H140" t="str">
        <f>IF(tblBilling[[#This Row],[amount]]&gt;3000, "High Revenue","Normal")</f>
        <v>High Revenue</v>
      </c>
    </row>
    <row r="141" spans="1:8" x14ac:dyDescent="0.35">
      <c r="A141" t="s">
        <v>788</v>
      </c>
      <c r="B141" t="s">
        <v>67</v>
      </c>
      <c r="C141" t="s">
        <v>577</v>
      </c>
      <c r="D141" s="1">
        <v>44962</v>
      </c>
      <c r="E141">
        <v>4019.13</v>
      </c>
      <c r="F141" t="s">
        <v>655</v>
      </c>
      <c r="G141" t="s">
        <v>645</v>
      </c>
      <c r="H141" t="str">
        <f>IF(tblBilling[[#This Row],[amount]]&gt;3000, "High Revenue","Normal")</f>
        <v>High Revenue</v>
      </c>
    </row>
    <row r="142" spans="1:8" x14ac:dyDescent="0.35">
      <c r="A142" t="s">
        <v>789</v>
      </c>
      <c r="B142" t="s">
        <v>154</v>
      </c>
      <c r="C142" t="s">
        <v>578</v>
      </c>
      <c r="D142" s="1">
        <v>45092</v>
      </c>
      <c r="E142">
        <v>3689.35</v>
      </c>
      <c r="F142" t="s">
        <v>644</v>
      </c>
      <c r="G142" t="s">
        <v>645</v>
      </c>
      <c r="H142" t="str">
        <f>IF(tblBilling[[#This Row],[amount]]&gt;3000, "High Revenue","Normal")</f>
        <v>High Revenue</v>
      </c>
    </row>
    <row r="143" spans="1:8" x14ac:dyDescent="0.35">
      <c r="A143" t="s">
        <v>790</v>
      </c>
      <c r="B143" t="s">
        <v>88</v>
      </c>
      <c r="C143" t="s">
        <v>579</v>
      </c>
      <c r="D143" s="1">
        <v>45231</v>
      </c>
      <c r="E143">
        <v>662.72</v>
      </c>
      <c r="F143" t="s">
        <v>644</v>
      </c>
      <c r="G143" t="s">
        <v>647</v>
      </c>
      <c r="H143" t="str">
        <f>IF(tblBilling[[#This Row],[amount]]&gt;3000, "High Revenue","Normal")</f>
        <v>Normal</v>
      </c>
    </row>
    <row r="144" spans="1:8" x14ac:dyDescent="0.35">
      <c r="A144" t="s">
        <v>791</v>
      </c>
      <c r="B144" t="s">
        <v>67</v>
      </c>
      <c r="C144" t="s">
        <v>580</v>
      </c>
      <c r="D144" s="1">
        <v>45190</v>
      </c>
      <c r="E144">
        <v>1864.08</v>
      </c>
      <c r="F144" t="s">
        <v>644</v>
      </c>
      <c r="G144" t="s">
        <v>650</v>
      </c>
      <c r="H144" t="str">
        <f>IF(tblBilling[[#This Row],[amount]]&gt;3000, "High Revenue","Normal")</f>
        <v>Normal</v>
      </c>
    </row>
    <row r="145" spans="1:8" x14ac:dyDescent="0.35">
      <c r="A145" t="s">
        <v>792</v>
      </c>
      <c r="B145" t="s">
        <v>57</v>
      </c>
      <c r="C145" t="s">
        <v>581</v>
      </c>
      <c r="D145" s="1">
        <v>45154</v>
      </c>
      <c r="E145">
        <v>1684.01</v>
      </c>
      <c r="F145" t="s">
        <v>644</v>
      </c>
      <c r="G145" t="s">
        <v>650</v>
      </c>
      <c r="H145" t="str">
        <f>IF(tblBilling[[#This Row],[amount]]&gt;3000, "High Revenue","Normal")</f>
        <v>Normal</v>
      </c>
    </row>
    <row r="146" spans="1:8" x14ac:dyDescent="0.35">
      <c r="A146" t="s">
        <v>793</v>
      </c>
      <c r="B146" t="s">
        <v>48</v>
      </c>
      <c r="C146" t="s">
        <v>582</v>
      </c>
      <c r="D146" s="1">
        <v>45241</v>
      </c>
      <c r="E146">
        <v>2120.61</v>
      </c>
      <c r="F146" t="s">
        <v>644</v>
      </c>
      <c r="G146" t="s">
        <v>647</v>
      </c>
      <c r="H146" t="str">
        <f>IF(tblBilling[[#This Row],[amount]]&gt;3000, "High Revenue","Normal")</f>
        <v>Normal</v>
      </c>
    </row>
    <row r="147" spans="1:8" x14ac:dyDescent="0.35">
      <c r="A147" t="s">
        <v>794</v>
      </c>
      <c r="B147" t="s">
        <v>120</v>
      </c>
      <c r="C147" t="s">
        <v>583</v>
      </c>
      <c r="D147" s="1">
        <v>44931</v>
      </c>
      <c r="E147">
        <v>894.39</v>
      </c>
      <c r="F147" t="s">
        <v>644</v>
      </c>
      <c r="G147" t="s">
        <v>645</v>
      </c>
      <c r="H147" t="str">
        <f>IF(tblBilling[[#This Row],[amount]]&gt;3000, "High Revenue","Normal")</f>
        <v>Normal</v>
      </c>
    </row>
    <row r="148" spans="1:8" x14ac:dyDescent="0.35">
      <c r="A148" t="s">
        <v>795</v>
      </c>
      <c r="B148" t="s">
        <v>72</v>
      </c>
      <c r="C148" t="s">
        <v>584</v>
      </c>
      <c r="D148" s="1">
        <v>45243</v>
      </c>
      <c r="E148">
        <v>4716.3100000000004</v>
      </c>
      <c r="F148" t="s">
        <v>644</v>
      </c>
      <c r="G148" t="s">
        <v>650</v>
      </c>
      <c r="H148" t="str">
        <f>IF(tblBilling[[#This Row],[amount]]&gt;3000, "High Revenue","Normal")</f>
        <v>High Revenue</v>
      </c>
    </row>
    <row r="149" spans="1:8" x14ac:dyDescent="0.35">
      <c r="A149" t="s">
        <v>796</v>
      </c>
      <c r="B149" t="s">
        <v>129</v>
      </c>
      <c r="C149" t="s">
        <v>585</v>
      </c>
      <c r="D149" s="1">
        <v>45266</v>
      </c>
      <c r="E149">
        <v>2992.11</v>
      </c>
      <c r="F149" t="s">
        <v>655</v>
      </c>
      <c r="G149" t="s">
        <v>647</v>
      </c>
      <c r="H149" t="str">
        <f>IF(tblBilling[[#This Row],[amount]]&gt;3000, "High Revenue","Normal")</f>
        <v>Normal</v>
      </c>
    </row>
    <row r="150" spans="1:8" x14ac:dyDescent="0.35">
      <c r="A150" t="s">
        <v>797</v>
      </c>
      <c r="B150" t="s">
        <v>88</v>
      </c>
      <c r="C150" t="s">
        <v>586</v>
      </c>
      <c r="D150" s="1">
        <v>45133</v>
      </c>
      <c r="E150">
        <v>1874.86</v>
      </c>
      <c r="F150" t="s">
        <v>652</v>
      </c>
      <c r="G150" t="s">
        <v>650</v>
      </c>
      <c r="H150" t="str">
        <f>IF(tblBilling[[#This Row],[amount]]&gt;3000, "High Revenue","Normal")</f>
        <v>Normal</v>
      </c>
    </row>
    <row r="151" spans="1:8" x14ac:dyDescent="0.35">
      <c r="A151" t="s">
        <v>798</v>
      </c>
      <c r="B151" t="s">
        <v>170</v>
      </c>
      <c r="C151" t="s">
        <v>587</v>
      </c>
      <c r="D151" s="1">
        <v>45154</v>
      </c>
      <c r="E151">
        <v>2286.42</v>
      </c>
      <c r="F151" t="s">
        <v>652</v>
      </c>
      <c r="G151" t="s">
        <v>647</v>
      </c>
      <c r="H151" t="str">
        <f>IF(tblBilling[[#This Row],[amount]]&gt;3000, "High Revenue","Normal")</f>
        <v>Normal</v>
      </c>
    </row>
    <row r="152" spans="1:8" x14ac:dyDescent="0.35">
      <c r="A152" t="s">
        <v>799</v>
      </c>
      <c r="B152" t="s">
        <v>79</v>
      </c>
      <c r="C152" t="s">
        <v>588</v>
      </c>
      <c r="D152" s="1">
        <v>44954</v>
      </c>
      <c r="E152">
        <v>2512.41</v>
      </c>
      <c r="F152" t="s">
        <v>655</v>
      </c>
      <c r="G152" t="s">
        <v>645</v>
      </c>
      <c r="H152" t="str">
        <f>IF(tblBilling[[#This Row],[amount]]&gt;3000, "High Revenue","Normal")</f>
        <v>Normal</v>
      </c>
    </row>
    <row r="153" spans="1:8" x14ac:dyDescent="0.35">
      <c r="A153" t="s">
        <v>800</v>
      </c>
      <c r="B153" t="s">
        <v>39</v>
      </c>
      <c r="C153" t="s">
        <v>589</v>
      </c>
      <c r="D153" s="1">
        <v>45030</v>
      </c>
      <c r="E153">
        <v>3202.67</v>
      </c>
      <c r="F153" t="s">
        <v>655</v>
      </c>
      <c r="G153" t="s">
        <v>650</v>
      </c>
      <c r="H153" t="str">
        <f>IF(tblBilling[[#This Row],[amount]]&gt;3000, "High Revenue","Normal")</f>
        <v>High Revenue</v>
      </c>
    </row>
    <row r="154" spans="1:8" x14ac:dyDescent="0.35">
      <c r="A154" t="s">
        <v>801</v>
      </c>
      <c r="B154" t="s">
        <v>139</v>
      </c>
      <c r="C154" t="s">
        <v>590</v>
      </c>
      <c r="D154" s="1">
        <v>45115</v>
      </c>
      <c r="E154">
        <v>2820.56</v>
      </c>
      <c r="F154" t="s">
        <v>655</v>
      </c>
      <c r="G154" t="s">
        <v>647</v>
      </c>
      <c r="H154" t="str">
        <f>IF(tblBilling[[#This Row],[amount]]&gt;3000, "High Revenue","Normal")</f>
        <v>Normal</v>
      </c>
    </row>
    <row r="155" spans="1:8" x14ac:dyDescent="0.35">
      <c r="A155" t="s">
        <v>802</v>
      </c>
      <c r="B155" t="s">
        <v>67</v>
      </c>
      <c r="C155" t="s">
        <v>591</v>
      </c>
      <c r="D155" s="1">
        <v>44991</v>
      </c>
      <c r="E155">
        <v>4637.26</v>
      </c>
      <c r="F155" t="s">
        <v>655</v>
      </c>
      <c r="G155" t="s">
        <v>650</v>
      </c>
      <c r="H155" t="str">
        <f>IF(tblBilling[[#This Row],[amount]]&gt;3000, "High Revenue","Normal")</f>
        <v>High Revenue</v>
      </c>
    </row>
    <row r="156" spans="1:8" x14ac:dyDescent="0.35">
      <c r="A156" t="s">
        <v>803</v>
      </c>
      <c r="B156" t="s">
        <v>110</v>
      </c>
      <c r="C156" t="s">
        <v>592</v>
      </c>
      <c r="D156" s="1">
        <v>44929</v>
      </c>
      <c r="E156">
        <v>2736.34</v>
      </c>
      <c r="F156" t="s">
        <v>644</v>
      </c>
      <c r="G156" t="s">
        <v>650</v>
      </c>
      <c r="H156" t="str">
        <f>IF(tblBilling[[#This Row],[amount]]&gt;3000, "High Revenue","Normal")</f>
        <v>Normal</v>
      </c>
    </row>
    <row r="157" spans="1:8" x14ac:dyDescent="0.35">
      <c r="A157" t="s">
        <v>804</v>
      </c>
      <c r="B157" t="s">
        <v>96</v>
      </c>
      <c r="C157" t="s">
        <v>593</v>
      </c>
      <c r="D157" s="1">
        <v>45252</v>
      </c>
      <c r="E157">
        <v>4964.71</v>
      </c>
      <c r="F157" t="s">
        <v>652</v>
      </c>
      <c r="G157" t="s">
        <v>650</v>
      </c>
      <c r="H157" t="str">
        <f>IF(tblBilling[[#This Row],[amount]]&gt;3000, "High Revenue","Normal")</f>
        <v>High Revenue</v>
      </c>
    </row>
    <row r="158" spans="1:8" x14ac:dyDescent="0.35">
      <c r="A158" t="s">
        <v>805</v>
      </c>
      <c r="B158" t="s">
        <v>141</v>
      </c>
      <c r="C158" t="s">
        <v>594</v>
      </c>
      <c r="D158" s="1">
        <v>45058</v>
      </c>
      <c r="E158">
        <v>4331.41</v>
      </c>
      <c r="F158" t="s">
        <v>644</v>
      </c>
      <c r="G158" t="s">
        <v>650</v>
      </c>
      <c r="H158" t="str">
        <f>IF(tblBilling[[#This Row],[amount]]&gt;3000, "High Revenue","Normal")</f>
        <v>High Revenue</v>
      </c>
    </row>
    <row r="159" spans="1:8" x14ac:dyDescent="0.35">
      <c r="A159" t="s">
        <v>806</v>
      </c>
      <c r="B159" t="s">
        <v>104</v>
      </c>
      <c r="C159" t="s">
        <v>595</v>
      </c>
      <c r="D159" s="1">
        <v>45119</v>
      </c>
      <c r="E159">
        <v>1438.3</v>
      </c>
      <c r="F159" t="s">
        <v>652</v>
      </c>
      <c r="G159" t="s">
        <v>647</v>
      </c>
      <c r="H159" t="str">
        <f>IF(tblBilling[[#This Row],[amount]]&gt;3000, "High Revenue","Normal")</f>
        <v>Normal</v>
      </c>
    </row>
    <row r="160" spans="1:8" x14ac:dyDescent="0.35">
      <c r="A160" t="s">
        <v>807</v>
      </c>
      <c r="B160" t="s">
        <v>79</v>
      </c>
      <c r="C160" t="s">
        <v>596</v>
      </c>
      <c r="D160" s="1">
        <v>45024</v>
      </c>
      <c r="E160">
        <v>4687.68</v>
      </c>
      <c r="F160" t="s">
        <v>652</v>
      </c>
      <c r="G160" t="s">
        <v>645</v>
      </c>
      <c r="H160" t="str">
        <f>IF(tblBilling[[#This Row],[amount]]&gt;3000, "High Revenue","Normal")</f>
        <v>High Revenue</v>
      </c>
    </row>
    <row r="161" spans="1:8" x14ac:dyDescent="0.35">
      <c r="A161" t="s">
        <v>808</v>
      </c>
      <c r="B161" t="s">
        <v>148</v>
      </c>
      <c r="C161" t="s">
        <v>597</v>
      </c>
      <c r="D161" s="1">
        <v>45277</v>
      </c>
      <c r="E161">
        <v>1023.65</v>
      </c>
      <c r="F161" t="s">
        <v>655</v>
      </c>
      <c r="G161" t="s">
        <v>647</v>
      </c>
      <c r="H161" t="str">
        <f>IF(tblBilling[[#This Row],[amount]]&gt;3000, "High Revenue","Normal")</f>
        <v>Normal</v>
      </c>
    </row>
    <row r="162" spans="1:8" x14ac:dyDescent="0.35">
      <c r="A162" t="s">
        <v>809</v>
      </c>
      <c r="B162" t="s">
        <v>165</v>
      </c>
      <c r="C162" t="s">
        <v>598</v>
      </c>
      <c r="D162" s="1">
        <v>45094</v>
      </c>
      <c r="E162">
        <v>4178.5200000000004</v>
      </c>
      <c r="F162" t="s">
        <v>644</v>
      </c>
      <c r="G162" t="s">
        <v>647</v>
      </c>
      <c r="H162" t="str">
        <f>IF(tblBilling[[#This Row],[amount]]&gt;3000, "High Revenue","Normal")</f>
        <v>High Revenue</v>
      </c>
    </row>
    <row r="163" spans="1:8" x14ac:dyDescent="0.35">
      <c r="A163" t="s">
        <v>810</v>
      </c>
      <c r="B163" t="s">
        <v>156</v>
      </c>
      <c r="C163" t="s">
        <v>599</v>
      </c>
      <c r="D163" s="1">
        <v>44927</v>
      </c>
      <c r="E163">
        <v>2212.8000000000002</v>
      </c>
      <c r="F163" t="s">
        <v>655</v>
      </c>
      <c r="G163" t="s">
        <v>647</v>
      </c>
      <c r="H163" t="str">
        <f>IF(tblBilling[[#This Row],[amount]]&gt;3000, "High Revenue","Normal")</f>
        <v>Normal</v>
      </c>
    </row>
    <row r="164" spans="1:8" x14ac:dyDescent="0.35">
      <c r="A164" t="s">
        <v>811</v>
      </c>
      <c r="B164" t="s">
        <v>148</v>
      </c>
      <c r="C164" t="s">
        <v>600</v>
      </c>
      <c r="D164" s="1">
        <v>45104</v>
      </c>
      <c r="E164">
        <v>4450.88</v>
      </c>
      <c r="F164" t="s">
        <v>644</v>
      </c>
      <c r="G164" t="s">
        <v>645</v>
      </c>
      <c r="H164" t="str">
        <f>IF(tblBilling[[#This Row],[amount]]&gt;3000, "High Revenue","Normal")</f>
        <v>High Revenue</v>
      </c>
    </row>
    <row r="165" spans="1:8" x14ac:dyDescent="0.35">
      <c r="A165" t="s">
        <v>812</v>
      </c>
      <c r="B165" t="s">
        <v>72</v>
      </c>
      <c r="C165" t="s">
        <v>601</v>
      </c>
      <c r="D165" s="1">
        <v>45135</v>
      </c>
      <c r="E165">
        <v>4406.26</v>
      </c>
      <c r="F165" t="s">
        <v>652</v>
      </c>
      <c r="G165" t="s">
        <v>650</v>
      </c>
      <c r="H165" t="str">
        <f>IF(tblBilling[[#This Row],[amount]]&gt;3000, "High Revenue","Normal")</f>
        <v>High Revenue</v>
      </c>
    </row>
    <row r="166" spans="1:8" x14ac:dyDescent="0.35">
      <c r="A166" t="s">
        <v>813</v>
      </c>
      <c r="B166" t="s">
        <v>129</v>
      </c>
      <c r="C166" t="s">
        <v>602</v>
      </c>
      <c r="D166" s="1">
        <v>45020</v>
      </c>
      <c r="E166">
        <v>4126.66</v>
      </c>
      <c r="F166" t="s">
        <v>655</v>
      </c>
      <c r="G166" t="s">
        <v>650</v>
      </c>
      <c r="H166" t="str">
        <f>IF(tblBilling[[#This Row],[amount]]&gt;3000, "High Revenue","Normal")</f>
        <v>High Revenue</v>
      </c>
    </row>
    <row r="167" spans="1:8" x14ac:dyDescent="0.35">
      <c r="A167" t="s">
        <v>814</v>
      </c>
      <c r="B167" t="s">
        <v>39</v>
      </c>
      <c r="C167" t="s">
        <v>603</v>
      </c>
      <c r="D167" s="1">
        <v>44938</v>
      </c>
      <c r="E167">
        <v>4055.14</v>
      </c>
      <c r="F167" t="s">
        <v>655</v>
      </c>
      <c r="G167" t="s">
        <v>650</v>
      </c>
      <c r="H167" t="str">
        <f>IF(tblBilling[[#This Row],[amount]]&gt;3000, "High Revenue","Normal")</f>
        <v>High Revenue</v>
      </c>
    </row>
    <row r="168" spans="1:8" x14ac:dyDescent="0.35">
      <c r="A168" t="s">
        <v>815</v>
      </c>
      <c r="B168" t="s">
        <v>139</v>
      </c>
      <c r="C168" t="s">
        <v>604</v>
      </c>
      <c r="D168" s="1">
        <v>45245</v>
      </c>
      <c r="E168">
        <v>1871.06</v>
      </c>
      <c r="F168" t="s">
        <v>652</v>
      </c>
      <c r="G168" t="s">
        <v>645</v>
      </c>
      <c r="H168" t="str">
        <f>IF(tblBilling[[#This Row],[amount]]&gt;3000, "High Revenue","Normal")</f>
        <v>Normal</v>
      </c>
    </row>
    <row r="169" spans="1:8" x14ac:dyDescent="0.35">
      <c r="A169" t="s">
        <v>816</v>
      </c>
      <c r="B169" t="s">
        <v>104</v>
      </c>
      <c r="C169" t="s">
        <v>605</v>
      </c>
      <c r="D169" s="1">
        <v>45198</v>
      </c>
      <c r="E169">
        <v>864.14</v>
      </c>
      <c r="F169" t="s">
        <v>652</v>
      </c>
      <c r="G169" t="s">
        <v>650</v>
      </c>
      <c r="H169" t="str">
        <f>IF(tblBilling[[#This Row],[amount]]&gt;3000, "High Revenue","Normal")</f>
        <v>Normal</v>
      </c>
    </row>
    <row r="170" spans="1:8" x14ac:dyDescent="0.35">
      <c r="A170" t="s">
        <v>817</v>
      </c>
      <c r="B170" t="s">
        <v>123</v>
      </c>
      <c r="C170" t="s">
        <v>606</v>
      </c>
      <c r="D170" s="1">
        <v>45131</v>
      </c>
      <c r="E170">
        <v>2313.41</v>
      </c>
      <c r="F170" t="s">
        <v>652</v>
      </c>
      <c r="G170" t="s">
        <v>645</v>
      </c>
      <c r="H170" t="str">
        <f>IF(tblBilling[[#This Row],[amount]]&gt;3000, "High Revenue","Normal")</f>
        <v>Normal</v>
      </c>
    </row>
    <row r="171" spans="1:8" x14ac:dyDescent="0.35">
      <c r="A171" t="s">
        <v>818</v>
      </c>
      <c r="B171" t="s">
        <v>159</v>
      </c>
      <c r="C171" t="s">
        <v>607</v>
      </c>
      <c r="D171" s="1">
        <v>44988</v>
      </c>
      <c r="E171">
        <v>1280.8599999999999</v>
      </c>
      <c r="F171" t="s">
        <v>655</v>
      </c>
      <c r="G171" t="s">
        <v>650</v>
      </c>
      <c r="H171" t="str">
        <f>IF(tblBilling[[#This Row],[amount]]&gt;3000, "High Revenue","Normal")</f>
        <v>Normal</v>
      </c>
    </row>
    <row r="172" spans="1:8" x14ac:dyDescent="0.35">
      <c r="A172" t="s">
        <v>819</v>
      </c>
      <c r="B172" t="s">
        <v>64</v>
      </c>
      <c r="C172" t="s">
        <v>608</v>
      </c>
      <c r="D172" s="1">
        <v>45034</v>
      </c>
      <c r="E172">
        <v>3627.28</v>
      </c>
      <c r="F172" t="s">
        <v>644</v>
      </c>
      <c r="G172" t="s">
        <v>650</v>
      </c>
      <c r="H172" t="str">
        <f>IF(tblBilling[[#This Row],[amount]]&gt;3000, "High Revenue","Normal")</f>
        <v>High Revenue</v>
      </c>
    </row>
    <row r="173" spans="1:8" x14ac:dyDescent="0.35">
      <c r="A173" t="s">
        <v>820</v>
      </c>
      <c r="B173" t="s">
        <v>85</v>
      </c>
      <c r="C173" t="s">
        <v>609</v>
      </c>
      <c r="D173" s="1">
        <v>44994</v>
      </c>
      <c r="E173">
        <v>2057.4499999999998</v>
      </c>
      <c r="F173" t="s">
        <v>655</v>
      </c>
      <c r="G173" t="s">
        <v>647</v>
      </c>
      <c r="H173" t="str">
        <f>IF(tblBilling[[#This Row],[amount]]&gt;3000, "High Revenue","Normal")</f>
        <v>Normal</v>
      </c>
    </row>
    <row r="174" spans="1:8" x14ac:dyDescent="0.35">
      <c r="A174" t="s">
        <v>821</v>
      </c>
      <c r="B174" t="s">
        <v>170</v>
      </c>
      <c r="C174" t="s">
        <v>610</v>
      </c>
      <c r="D174" s="1">
        <v>45081</v>
      </c>
      <c r="E174">
        <v>4890.25</v>
      </c>
      <c r="F174" t="s">
        <v>644</v>
      </c>
      <c r="G174" t="s">
        <v>645</v>
      </c>
      <c r="H174" t="str">
        <f>IF(tblBilling[[#This Row],[amount]]&gt;3000, "High Revenue","Normal")</f>
        <v>High Revenue</v>
      </c>
    </row>
    <row r="175" spans="1:8" x14ac:dyDescent="0.35">
      <c r="A175" t="s">
        <v>822</v>
      </c>
      <c r="B175" t="s">
        <v>67</v>
      </c>
      <c r="C175" t="s">
        <v>611</v>
      </c>
      <c r="D175" s="1">
        <v>45230</v>
      </c>
      <c r="E175">
        <v>3384.37</v>
      </c>
      <c r="F175" t="s">
        <v>655</v>
      </c>
      <c r="G175" t="s">
        <v>647</v>
      </c>
      <c r="H175" t="str">
        <f>IF(tblBilling[[#This Row],[amount]]&gt;3000, "High Revenue","Normal")</f>
        <v>High Revenue</v>
      </c>
    </row>
    <row r="176" spans="1:8" x14ac:dyDescent="0.35">
      <c r="A176" t="s">
        <v>823</v>
      </c>
      <c r="B176" t="s">
        <v>57</v>
      </c>
      <c r="C176" t="s">
        <v>612</v>
      </c>
      <c r="D176" s="1">
        <v>45221</v>
      </c>
      <c r="E176">
        <v>4201.16</v>
      </c>
      <c r="F176" t="s">
        <v>655</v>
      </c>
      <c r="G176" t="s">
        <v>647</v>
      </c>
      <c r="H176" t="str">
        <f>IF(tblBilling[[#This Row],[amount]]&gt;3000, "High Revenue","Normal")</f>
        <v>High Revenue</v>
      </c>
    </row>
    <row r="177" spans="1:8" x14ac:dyDescent="0.35">
      <c r="A177" t="s">
        <v>824</v>
      </c>
      <c r="B177" t="s">
        <v>60</v>
      </c>
      <c r="C177" t="s">
        <v>613</v>
      </c>
      <c r="D177" s="1">
        <v>45042</v>
      </c>
      <c r="E177">
        <v>1096.3599999999999</v>
      </c>
      <c r="F177" t="s">
        <v>652</v>
      </c>
      <c r="G177" t="s">
        <v>647</v>
      </c>
      <c r="H177" t="str">
        <f>IF(tblBilling[[#This Row],[amount]]&gt;3000, "High Revenue","Normal")</f>
        <v>Normal</v>
      </c>
    </row>
    <row r="178" spans="1:8" x14ac:dyDescent="0.35">
      <c r="A178" t="s">
        <v>825</v>
      </c>
      <c r="B178" t="s">
        <v>162</v>
      </c>
      <c r="C178" t="s">
        <v>614</v>
      </c>
      <c r="D178" s="1">
        <v>45154</v>
      </c>
      <c r="E178">
        <v>4379.07</v>
      </c>
      <c r="F178" t="s">
        <v>644</v>
      </c>
      <c r="G178" t="s">
        <v>645</v>
      </c>
      <c r="H178" t="str">
        <f>IF(tblBilling[[#This Row],[amount]]&gt;3000, "High Revenue","Normal")</f>
        <v>High Revenue</v>
      </c>
    </row>
    <row r="179" spans="1:8" x14ac:dyDescent="0.35">
      <c r="A179" t="s">
        <v>826</v>
      </c>
      <c r="B179" t="s">
        <v>81</v>
      </c>
      <c r="C179" t="s">
        <v>615</v>
      </c>
      <c r="D179" s="1">
        <v>44943</v>
      </c>
      <c r="E179">
        <v>4652.41</v>
      </c>
      <c r="F179" t="s">
        <v>655</v>
      </c>
      <c r="G179" t="s">
        <v>645</v>
      </c>
      <c r="H179" t="str">
        <f>IF(tblBilling[[#This Row],[amount]]&gt;3000, "High Revenue","Normal")</f>
        <v>High Revenue</v>
      </c>
    </row>
    <row r="180" spans="1:8" x14ac:dyDescent="0.35">
      <c r="A180" t="s">
        <v>827</v>
      </c>
      <c r="B180" t="s">
        <v>146</v>
      </c>
      <c r="C180" t="s">
        <v>616</v>
      </c>
      <c r="D180" s="1">
        <v>44993</v>
      </c>
      <c r="E180">
        <v>2691.78</v>
      </c>
      <c r="F180" t="s">
        <v>655</v>
      </c>
      <c r="G180" t="s">
        <v>650</v>
      </c>
      <c r="H180" t="str">
        <f>IF(tblBilling[[#This Row],[amount]]&gt;3000, "High Revenue","Normal")</f>
        <v>Normal</v>
      </c>
    </row>
    <row r="181" spans="1:8" x14ac:dyDescent="0.35">
      <c r="A181" t="s">
        <v>828</v>
      </c>
      <c r="B181" t="s">
        <v>48</v>
      </c>
      <c r="C181" t="s">
        <v>617</v>
      </c>
      <c r="D181" s="1">
        <v>44933</v>
      </c>
      <c r="E181">
        <v>3228.14</v>
      </c>
      <c r="F181" t="s">
        <v>652</v>
      </c>
      <c r="G181" t="s">
        <v>647</v>
      </c>
      <c r="H181" t="str">
        <f>IF(tblBilling[[#This Row],[amount]]&gt;3000, "High Revenue","Normal")</f>
        <v>High Revenue</v>
      </c>
    </row>
    <row r="182" spans="1:8" x14ac:dyDescent="0.35">
      <c r="A182" t="s">
        <v>829</v>
      </c>
      <c r="B182" t="s">
        <v>168</v>
      </c>
      <c r="C182" t="s">
        <v>618</v>
      </c>
      <c r="D182" s="1">
        <v>45172</v>
      </c>
      <c r="E182">
        <v>3941.64</v>
      </c>
      <c r="F182" t="s">
        <v>652</v>
      </c>
      <c r="G182" t="s">
        <v>650</v>
      </c>
      <c r="H182" t="str">
        <f>IF(tblBilling[[#This Row],[amount]]&gt;3000, "High Revenue","Normal")</f>
        <v>High Revenue</v>
      </c>
    </row>
    <row r="183" spans="1:8" x14ac:dyDescent="0.35">
      <c r="A183" t="s">
        <v>830</v>
      </c>
      <c r="B183" t="s">
        <v>69</v>
      </c>
      <c r="C183" t="s">
        <v>619</v>
      </c>
      <c r="D183" s="1">
        <v>45028</v>
      </c>
      <c r="E183">
        <v>1286.77</v>
      </c>
      <c r="F183" t="s">
        <v>644</v>
      </c>
      <c r="G183" t="s">
        <v>647</v>
      </c>
      <c r="H183" t="str">
        <f>IF(tblBilling[[#This Row],[amount]]&gt;3000, "High Revenue","Normal")</f>
        <v>Normal</v>
      </c>
    </row>
    <row r="184" spans="1:8" x14ac:dyDescent="0.35">
      <c r="A184" t="s">
        <v>831</v>
      </c>
      <c r="B184" t="s">
        <v>151</v>
      </c>
      <c r="C184" t="s">
        <v>620</v>
      </c>
      <c r="D184" s="1">
        <v>44960</v>
      </c>
      <c r="E184">
        <v>2761.55</v>
      </c>
      <c r="F184" t="s">
        <v>655</v>
      </c>
      <c r="G184" t="s">
        <v>645</v>
      </c>
      <c r="H184" t="str">
        <f>IF(tblBilling[[#This Row],[amount]]&gt;3000, "High Revenue","Normal")</f>
        <v>Normal</v>
      </c>
    </row>
    <row r="185" spans="1:8" x14ac:dyDescent="0.35">
      <c r="A185" t="s">
        <v>832</v>
      </c>
      <c r="B185" t="s">
        <v>156</v>
      </c>
      <c r="C185" t="s">
        <v>621</v>
      </c>
      <c r="D185" s="1">
        <v>44983</v>
      </c>
      <c r="E185">
        <v>2293.98</v>
      </c>
      <c r="F185" t="s">
        <v>644</v>
      </c>
      <c r="G185" t="s">
        <v>645</v>
      </c>
      <c r="H185" t="str">
        <f>IF(tblBilling[[#This Row],[amount]]&gt;3000, "High Revenue","Normal")</f>
        <v>Normal</v>
      </c>
    </row>
    <row r="186" spans="1:8" x14ac:dyDescent="0.35">
      <c r="A186" t="s">
        <v>833</v>
      </c>
      <c r="B186" t="s">
        <v>57</v>
      </c>
      <c r="C186" t="s">
        <v>622</v>
      </c>
      <c r="D186" s="1">
        <v>45006</v>
      </c>
      <c r="E186">
        <v>1158.68</v>
      </c>
      <c r="F186" t="s">
        <v>655</v>
      </c>
      <c r="G186" t="s">
        <v>645</v>
      </c>
      <c r="H186" t="str">
        <f>IF(tblBilling[[#This Row],[amount]]&gt;3000, "High Revenue","Normal")</f>
        <v>Normal</v>
      </c>
    </row>
    <row r="187" spans="1:8" x14ac:dyDescent="0.35">
      <c r="A187" t="s">
        <v>834</v>
      </c>
      <c r="B187" t="s">
        <v>178</v>
      </c>
      <c r="C187" t="s">
        <v>623</v>
      </c>
      <c r="D187" s="1">
        <v>45012</v>
      </c>
      <c r="E187">
        <v>2153.9</v>
      </c>
      <c r="F187" t="s">
        <v>644</v>
      </c>
      <c r="G187" t="s">
        <v>647</v>
      </c>
      <c r="H187" t="str">
        <f>IF(tblBilling[[#This Row],[amount]]&gt;3000, "High Revenue","Normal")</f>
        <v>Normal</v>
      </c>
    </row>
    <row r="188" spans="1:8" x14ac:dyDescent="0.35">
      <c r="A188" t="s">
        <v>835</v>
      </c>
      <c r="B188" t="s">
        <v>117</v>
      </c>
      <c r="C188" t="s">
        <v>624</v>
      </c>
      <c r="D188" s="1">
        <v>44970</v>
      </c>
      <c r="E188">
        <v>806.78</v>
      </c>
      <c r="F188" t="s">
        <v>652</v>
      </c>
      <c r="G188" t="s">
        <v>645</v>
      </c>
      <c r="H188" t="str">
        <f>IF(tblBilling[[#This Row],[amount]]&gt;3000, "High Revenue","Normal")</f>
        <v>Normal</v>
      </c>
    </row>
    <row r="189" spans="1:8" x14ac:dyDescent="0.35">
      <c r="A189" t="s">
        <v>836</v>
      </c>
      <c r="B189" t="s">
        <v>19</v>
      </c>
      <c r="C189" t="s">
        <v>625</v>
      </c>
      <c r="D189" s="1">
        <v>45028</v>
      </c>
      <c r="E189">
        <v>616.15</v>
      </c>
      <c r="F189" t="s">
        <v>655</v>
      </c>
      <c r="G189" t="s">
        <v>647</v>
      </c>
      <c r="H189" t="str">
        <f>IF(tblBilling[[#This Row],[amount]]&gt;3000, "High Revenue","Normal")</f>
        <v>Normal</v>
      </c>
    </row>
    <row r="190" spans="1:8" x14ac:dyDescent="0.35">
      <c r="A190" t="s">
        <v>837</v>
      </c>
      <c r="B190" t="s">
        <v>39</v>
      </c>
      <c r="C190" t="s">
        <v>626</v>
      </c>
      <c r="D190" s="1">
        <v>45204</v>
      </c>
      <c r="E190">
        <v>1108.25</v>
      </c>
      <c r="F190" t="s">
        <v>644</v>
      </c>
      <c r="G190" t="s">
        <v>650</v>
      </c>
      <c r="H190" t="str">
        <f>IF(tblBilling[[#This Row],[amount]]&gt;3000, "High Revenue","Normal")</f>
        <v>Normal</v>
      </c>
    </row>
    <row r="191" spans="1:8" x14ac:dyDescent="0.35">
      <c r="A191" t="s">
        <v>838</v>
      </c>
      <c r="B191" t="s">
        <v>123</v>
      </c>
      <c r="C191" t="s">
        <v>627</v>
      </c>
      <c r="D191" s="1">
        <v>45246</v>
      </c>
      <c r="E191">
        <v>4834.0200000000004</v>
      </c>
      <c r="F191" t="s">
        <v>652</v>
      </c>
      <c r="G191" t="s">
        <v>647</v>
      </c>
      <c r="H191" t="str">
        <f>IF(tblBilling[[#This Row],[amount]]&gt;3000, "High Revenue","Normal")</f>
        <v>High Revenue</v>
      </c>
    </row>
    <row r="192" spans="1:8" x14ac:dyDescent="0.35">
      <c r="A192" t="s">
        <v>839</v>
      </c>
      <c r="B192" t="s">
        <v>143</v>
      </c>
      <c r="C192" t="s">
        <v>628</v>
      </c>
      <c r="D192" s="1">
        <v>45028</v>
      </c>
      <c r="E192">
        <v>2972.88</v>
      </c>
      <c r="F192" t="s">
        <v>652</v>
      </c>
      <c r="G192" t="s">
        <v>650</v>
      </c>
      <c r="H192" t="str">
        <f>IF(tblBilling[[#This Row],[amount]]&gt;3000, "High Revenue","Normal")</f>
        <v>Normal</v>
      </c>
    </row>
    <row r="193" spans="1:8" x14ac:dyDescent="0.35">
      <c r="A193" t="s">
        <v>840</v>
      </c>
      <c r="B193" t="s">
        <v>146</v>
      </c>
      <c r="C193" t="s">
        <v>629</v>
      </c>
      <c r="D193" s="1">
        <v>45169</v>
      </c>
      <c r="E193">
        <v>4846.2</v>
      </c>
      <c r="F193" t="s">
        <v>644</v>
      </c>
      <c r="G193" t="s">
        <v>647</v>
      </c>
      <c r="H193" t="str">
        <f>IF(tblBilling[[#This Row],[amount]]&gt;3000, "High Revenue","Normal")</f>
        <v>High Revenue</v>
      </c>
    </row>
    <row r="194" spans="1:8" x14ac:dyDescent="0.35">
      <c r="A194" t="s">
        <v>841</v>
      </c>
      <c r="B194" t="s">
        <v>88</v>
      </c>
      <c r="C194" t="s">
        <v>630</v>
      </c>
      <c r="D194" s="1">
        <v>45184</v>
      </c>
      <c r="E194">
        <v>2446.2399999999998</v>
      </c>
      <c r="F194" t="s">
        <v>655</v>
      </c>
      <c r="G194" t="s">
        <v>650</v>
      </c>
      <c r="H194" t="str">
        <f>IF(tblBilling[[#This Row],[amount]]&gt;3000, "High Revenue","Normal")</f>
        <v>Normal</v>
      </c>
    </row>
    <row r="195" spans="1:8" x14ac:dyDescent="0.35">
      <c r="A195" t="s">
        <v>842</v>
      </c>
      <c r="B195" t="s">
        <v>52</v>
      </c>
      <c r="C195" t="s">
        <v>631</v>
      </c>
      <c r="D195" s="1">
        <v>45022</v>
      </c>
      <c r="E195">
        <v>1903.17</v>
      </c>
      <c r="F195" t="s">
        <v>655</v>
      </c>
      <c r="G195" t="s">
        <v>645</v>
      </c>
      <c r="H195" t="str">
        <f>IF(tblBilling[[#This Row],[amount]]&gt;3000, "High Revenue","Normal")</f>
        <v>Normal</v>
      </c>
    </row>
    <row r="196" spans="1:8" x14ac:dyDescent="0.35">
      <c r="A196" t="s">
        <v>843</v>
      </c>
      <c r="B196" t="s">
        <v>172</v>
      </c>
      <c r="C196" t="s">
        <v>632</v>
      </c>
      <c r="D196" s="1">
        <v>45157</v>
      </c>
      <c r="E196">
        <v>2777.64</v>
      </c>
      <c r="F196" t="s">
        <v>652</v>
      </c>
      <c r="G196" t="s">
        <v>650</v>
      </c>
      <c r="H196" t="str">
        <f>IF(tblBilling[[#This Row],[amount]]&gt;3000, "High Revenue","Normal")</f>
        <v>Normal</v>
      </c>
    </row>
    <row r="197" spans="1:8" x14ac:dyDescent="0.35">
      <c r="A197" t="s">
        <v>844</v>
      </c>
      <c r="B197" t="s">
        <v>165</v>
      </c>
      <c r="C197" t="s">
        <v>633</v>
      </c>
      <c r="D197" s="1">
        <v>45225</v>
      </c>
      <c r="E197">
        <v>2477.8000000000002</v>
      </c>
      <c r="F197" t="s">
        <v>655</v>
      </c>
      <c r="G197" t="s">
        <v>645</v>
      </c>
      <c r="H197" t="str">
        <f>IF(tblBilling[[#This Row],[amount]]&gt;3000, "High Revenue","Normal")</f>
        <v>Normal</v>
      </c>
    </row>
    <row r="198" spans="1:8" x14ac:dyDescent="0.35">
      <c r="A198" t="s">
        <v>845</v>
      </c>
      <c r="B198" t="s">
        <v>11</v>
      </c>
      <c r="C198" t="s">
        <v>634</v>
      </c>
      <c r="D198" s="1">
        <v>45017</v>
      </c>
      <c r="E198">
        <v>975.49</v>
      </c>
      <c r="F198" t="s">
        <v>655</v>
      </c>
      <c r="G198" t="s">
        <v>645</v>
      </c>
      <c r="H198" t="str">
        <f>IF(tblBilling[[#This Row],[amount]]&gt;3000, "High Revenue","Normal")</f>
        <v>Normal</v>
      </c>
    </row>
    <row r="199" spans="1:8" x14ac:dyDescent="0.35">
      <c r="A199" t="s">
        <v>846</v>
      </c>
      <c r="B199" t="s">
        <v>99</v>
      </c>
      <c r="C199" t="s">
        <v>635</v>
      </c>
      <c r="D199" s="1">
        <v>45061</v>
      </c>
      <c r="E199">
        <v>3383.72</v>
      </c>
      <c r="F199" t="s">
        <v>655</v>
      </c>
      <c r="G199" t="s">
        <v>650</v>
      </c>
      <c r="H199" t="str">
        <f>IF(tblBilling[[#This Row],[amount]]&gt;3000, "High Revenue","Normal")</f>
        <v>High Revenue</v>
      </c>
    </row>
    <row r="200" spans="1:8" x14ac:dyDescent="0.35">
      <c r="A200" t="s">
        <v>847</v>
      </c>
      <c r="B200" t="s">
        <v>81</v>
      </c>
      <c r="C200" t="s">
        <v>636</v>
      </c>
      <c r="D200" s="1">
        <v>45047</v>
      </c>
      <c r="E200">
        <v>1472.17</v>
      </c>
      <c r="F200" t="s">
        <v>652</v>
      </c>
      <c r="G200" t="s">
        <v>647</v>
      </c>
      <c r="H200" t="str">
        <f>IF(tblBilling[[#This Row],[amount]]&gt;3000, "High Revenue","Normal")</f>
        <v>Normal</v>
      </c>
    </row>
    <row r="201" spans="1:8" x14ac:dyDescent="0.35">
      <c r="A201" t="s">
        <v>848</v>
      </c>
      <c r="B201" t="s">
        <v>48</v>
      </c>
      <c r="C201" t="s">
        <v>637</v>
      </c>
      <c r="D201" s="1">
        <v>45290</v>
      </c>
      <c r="E201">
        <v>3288.15</v>
      </c>
      <c r="F201" t="s">
        <v>644</v>
      </c>
      <c r="G201" t="s">
        <v>647</v>
      </c>
      <c r="H201" t="str">
        <f>IF(tblBilling[[#This Row],[amount]]&gt;3000, "High Revenue","Normal")</f>
        <v>High Revenue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0F99-822D-417C-A161-BF3C6ACDDCE1}">
  <dimension ref="A1:B9"/>
  <sheetViews>
    <sheetView workbookViewId="0">
      <selection activeCell="A14" sqref="A14"/>
    </sheetView>
  </sheetViews>
  <sheetFormatPr defaultRowHeight="14.5" x14ac:dyDescent="0.35"/>
  <cols>
    <col min="1" max="1" width="30.54296875" customWidth="1"/>
  </cols>
  <sheetData>
    <row r="1" spans="1:2" x14ac:dyDescent="0.35">
      <c r="A1" t="s">
        <v>857</v>
      </c>
      <c r="B1">
        <f>COUNTA(tblPatients[patient_id])</f>
        <v>50</v>
      </c>
    </row>
    <row r="2" spans="1:2" x14ac:dyDescent="0.35">
      <c r="A2" t="s">
        <v>858</v>
      </c>
      <c r="B2">
        <f>COUNTA(tblAppointments[appointment_id])</f>
        <v>200</v>
      </c>
    </row>
    <row r="3" spans="1:2" x14ac:dyDescent="0.35">
      <c r="A3" t="s">
        <v>859</v>
      </c>
      <c r="B3">
        <f>SUM(tblBilling[amount])</f>
        <v>551249.85000000009</v>
      </c>
    </row>
    <row r="4" spans="1:2" x14ac:dyDescent="0.35">
      <c r="A4" t="s">
        <v>860</v>
      </c>
      <c r="B4">
        <f>AVERAGE(tblBilling[amount])</f>
        <v>2756.2492500000003</v>
      </c>
    </row>
    <row r="5" spans="1:2" x14ac:dyDescent="0.35">
      <c r="A5" t="s">
        <v>861</v>
      </c>
      <c r="B5">
        <f>MAX(tblBilling[amount])</f>
        <v>4973.63</v>
      </c>
    </row>
    <row r="6" spans="1:2" x14ac:dyDescent="0.35">
      <c r="A6" t="s">
        <v>862</v>
      </c>
      <c r="B6">
        <f>MIN(tblBilling[amount])</f>
        <v>534.03</v>
      </c>
    </row>
    <row r="7" spans="1:2" x14ac:dyDescent="0.35">
      <c r="A7" t="s">
        <v>863</v>
      </c>
      <c r="B7">
        <f>COUNTIFS(tblAppointments[status],"Completed")</f>
        <v>46</v>
      </c>
    </row>
    <row r="8" spans="1:2" x14ac:dyDescent="0.35">
      <c r="A8" t="s">
        <v>864</v>
      </c>
      <c r="B8">
        <f>COUNTIFS(tblAppointments[status],"Cancelled")</f>
        <v>51</v>
      </c>
    </row>
    <row r="9" spans="1:2" x14ac:dyDescent="0.35">
      <c r="A9" t="s">
        <v>865</v>
      </c>
      <c r="B9">
        <f>COUNTIFS(tblAppointments[status],"No-show")</f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0AE0-95BC-47EC-8275-D5E2208514E0}">
  <dimension ref="A1:M21"/>
  <sheetViews>
    <sheetView topLeftCell="A4" workbookViewId="0">
      <selection activeCell="M7" sqref="M7"/>
    </sheetView>
  </sheetViews>
  <sheetFormatPr defaultRowHeight="14.5" x14ac:dyDescent="0.35"/>
  <cols>
    <col min="1" max="1" width="16.36328125" bestFit="1" customWidth="1"/>
    <col min="2" max="2" width="9.81640625" bestFit="1" customWidth="1"/>
    <col min="3" max="7" width="5" bestFit="1" customWidth="1"/>
    <col min="8" max="8" width="12.36328125" bestFit="1" customWidth="1"/>
    <col min="9" max="9" width="22.36328125" bestFit="1" customWidth="1"/>
    <col min="10" max="11" width="5" bestFit="1" customWidth="1"/>
    <col min="12" max="12" width="14.54296875" bestFit="1" customWidth="1"/>
    <col min="13" max="13" width="22.36328125" bestFit="1" customWidth="1"/>
    <col min="14" max="197" width="5" bestFit="1" customWidth="1"/>
    <col min="198" max="198" width="10.7265625" bestFit="1" customWidth="1"/>
  </cols>
  <sheetData>
    <row r="1" spans="1:13" x14ac:dyDescent="0.35">
      <c r="A1" s="5" t="s">
        <v>869</v>
      </c>
      <c r="B1" t="s">
        <v>870</v>
      </c>
      <c r="H1" s="5" t="s">
        <v>641</v>
      </c>
      <c r="I1" t="s">
        <v>868</v>
      </c>
      <c r="L1" s="5" t="s">
        <v>902</v>
      </c>
      <c r="M1" t="s">
        <v>871</v>
      </c>
    </row>
    <row r="2" spans="1:13" x14ac:dyDescent="0.35">
      <c r="A2" s="6" t="s">
        <v>650</v>
      </c>
      <c r="B2" s="4">
        <v>193212.94</v>
      </c>
      <c r="H2" s="6" t="s">
        <v>655</v>
      </c>
      <c r="I2" s="19">
        <v>167707.13999999998</v>
      </c>
      <c r="L2" s="6" t="s">
        <v>901</v>
      </c>
      <c r="M2" s="4">
        <v>29</v>
      </c>
    </row>
    <row r="3" spans="1:13" x14ac:dyDescent="0.35">
      <c r="A3" s="6" t="s">
        <v>647</v>
      </c>
      <c r="B3" s="4">
        <v>173424.89999999994</v>
      </c>
      <c r="H3" s="6" t="s">
        <v>652</v>
      </c>
      <c r="I3" s="19">
        <v>201382.43000000005</v>
      </c>
      <c r="L3" s="6" t="s">
        <v>894</v>
      </c>
      <c r="M3" s="4">
        <v>25</v>
      </c>
    </row>
    <row r="4" spans="1:13" x14ac:dyDescent="0.35">
      <c r="A4" s="6" t="s">
        <v>645</v>
      </c>
      <c r="B4" s="4">
        <v>184612.01000000004</v>
      </c>
      <c r="H4" s="6" t="s">
        <v>644</v>
      </c>
      <c r="I4" s="19">
        <v>182160.27999999997</v>
      </c>
      <c r="L4" s="6" t="s">
        <v>892</v>
      </c>
      <c r="M4" s="4">
        <v>24</v>
      </c>
    </row>
    <row r="5" spans="1:13" x14ac:dyDescent="0.35">
      <c r="A5" s="6" t="s">
        <v>867</v>
      </c>
      <c r="B5" s="4">
        <v>551249.85</v>
      </c>
      <c r="H5" s="6" t="s">
        <v>867</v>
      </c>
      <c r="I5" s="19">
        <v>551249.85000000009</v>
      </c>
      <c r="L5" s="6" t="s">
        <v>896</v>
      </c>
      <c r="M5" s="4">
        <v>22</v>
      </c>
    </row>
    <row r="6" spans="1:13" x14ac:dyDescent="0.35">
      <c r="L6" s="6" t="s">
        <v>895</v>
      </c>
      <c r="M6" s="4">
        <v>21</v>
      </c>
    </row>
    <row r="7" spans="1:13" x14ac:dyDescent="0.35">
      <c r="L7" s="6" t="s">
        <v>898</v>
      </c>
      <c r="M7" s="4">
        <v>19</v>
      </c>
    </row>
    <row r="8" spans="1:13" x14ac:dyDescent="0.35">
      <c r="A8" s="5" t="s">
        <v>872</v>
      </c>
      <c r="B8" t="s">
        <v>871</v>
      </c>
      <c r="H8" s="5" t="s">
        <v>866</v>
      </c>
      <c r="I8" t="s">
        <v>871</v>
      </c>
      <c r="L8" s="6" t="s">
        <v>900</v>
      </c>
      <c r="M8" s="4">
        <v>17</v>
      </c>
    </row>
    <row r="9" spans="1:13" x14ac:dyDescent="0.35">
      <c r="A9" s="6" t="s">
        <v>223</v>
      </c>
      <c r="B9" s="4">
        <v>51</v>
      </c>
      <c r="H9" s="6" t="s">
        <v>880</v>
      </c>
      <c r="I9" s="4">
        <v>20</v>
      </c>
      <c r="L9" s="6" t="s">
        <v>897</v>
      </c>
      <c r="M9" s="4">
        <v>16</v>
      </c>
    </row>
    <row r="10" spans="1:13" x14ac:dyDescent="0.35">
      <c r="A10" s="6" t="s">
        <v>234</v>
      </c>
      <c r="B10" s="4">
        <v>46</v>
      </c>
      <c r="H10" s="6" t="s">
        <v>881</v>
      </c>
      <c r="I10" s="4">
        <v>14</v>
      </c>
      <c r="L10" s="6" t="s">
        <v>893</v>
      </c>
      <c r="M10" s="4">
        <v>14</v>
      </c>
    </row>
    <row r="11" spans="1:13" x14ac:dyDescent="0.35">
      <c r="A11" s="6" t="s">
        <v>220</v>
      </c>
      <c r="B11" s="4">
        <v>52</v>
      </c>
      <c r="H11" s="6" t="s">
        <v>882</v>
      </c>
      <c r="I11" s="4">
        <v>19</v>
      </c>
      <c r="L11" s="6" t="s">
        <v>899</v>
      </c>
      <c r="M11" s="4">
        <v>13</v>
      </c>
    </row>
    <row r="12" spans="1:13" x14ac:dyDescent="0.35">
      <c r="A12" s="6" t="s">
        <v>218</v>
      </c>
      <c r="B12" s="4">
        <v>51</v>
      </c>
      <c r="H12" s="6" t="s">
        <v>883</v>
      </c>
      <c r="I12" s="4">
        <v>25</v>
      </c>
      <c r="L12" s="6" t="s">
        <v>867</v>
      </c>
      <c r="M12" s="4">
        <v>200</v>
      </c>
    </row>
    <row r="13" spans="1:13" x14ac:dyDescent="0.35">
      <c r="A13" s="6" t="s">
        <v>867</v>
      </c>
      <c r="B13" s="4">
        <v>200</v>
      </c>
      <c r="H13" s="6" t="s">
        <v>884</v>
      </c>
      <c r="I13" s="4">
        <v>19</v>
      </c>
    </row>
    <row r="14" spans="1:13" x14ac:dyDescent="0.35">
      <c r="H14" s="6" t="s">
        <v>885</v>
      </c>
      <c r="I14" s="4">
        <v>18</v>
      </c>
    </row>
    <row r="15" spans="1:13" x14ac:dyDescent="0.35">
      <c r="H15" s="6" t="s">
        <v>886</v>
      </c>
      <c r="I15" s="4">
        <v>16</v>
      </c>
    </row>
    <row r="16" spans="1:13" x14ac:dyDescent="0.35">
      <c r="A16" s="5" t="s">
        <v>854</v>
      </c>
      <c r="B16" t="s">
        <v>875</v>
      </c>
      <c r="H16" s="6" t="s">
        <v>887</v>
      </c>
      <c r="I16" s="4">
        <v>15</v>
      </c>
    </row>
    <row r="17" spans="1:9" x14ac:dyDescent="0.35">
      <c r="A17" s="6" t="s">
        <v>873</v>
      </c>
      <c r="B17" s="4">
        <v>39</v>
      </c>
      <c r="H17" s="6" t="s">
        <v>888</v>
      </c>
      <c r="I17" s="4">
        <v>11</v>
      </c>
    </row>
    <row r="18" spans="1:9" x14ac:dyDescent="0.35">
      <c r="A18" s="6" t="s">
        <v>874</v>
      </c>
      <c r="B18" s="4">
        <v>11</v>
      </c>
      <c r="H18" s="6" t="s">
        <v>889</v>
      </c>
      <c r="I18" s="4">
        <v>14</v>
      </c>
    </row>
    <row r="19" spans="1:9" x14ac:dyDescent="0.35">
      <c r="A19" s="6" t="s">
        <v>867</v>
      </c>
      <c r="B19" s="4">
        <v>50</v>
      </c>
      <c r="H19" s="6" t="s">
        <v>890</v>
      </c>
      <c r="I19" s="4">
        <v>17</v>
      </c>
    </row>
    <row r="20" spans="1:9" x14ac:dyDescent="0.35">
      <c r="H20" s="6" t="s">
        <v>891</v>
      </c>
      <c r="I20" s="4">
        <v>12</v>
      </c>
    </row>
    <row r="21" spans="1:9" x14ac:dyDescent="0.35">
      <c r="H21" s="6" t="s">
        <v>867</v>
      </c>
      <c r="I21" s="4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CDBB-8DB9-46D0-9BE5-6265180CFA71}">
  <dimension ref="A1:T20"/>
  <sheetViews>
    <sheetView topLeftCell="A7" workbookViewId="0">
      <selection activeCell="A37" sqref="A37"/>
    </sheetView>
  </sheetViews>
  <sheetFormatPr defaultRowHeight="14.5" x14ac:dyDescent="0.35"/>
  <cols>
    <col min="1" max="1" width="11.453125" style="7" customWidth="1"/>
    <col min="2" max="2" width="13" style="7" bestFit="1" customWidth="1"/>
    <col min="3" max="16384" width="8.7265625" style="7"/>
  </cols>
  <sheetData>
    <row r="1" spans="1:20" ht="28.5" x14ac:dyDescent="0.65">
      <c r="A1" s="10" t="s">
        <v>876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3" spans="1:20" ht="17" x14ac:dyDescent="0.4">
      <c r="A3" s="12"/>
      <c r="B3" s="18" t="s">
        <v>859</v>
      </c>
      <c r="C3" s="18"/>
      <c r="D3" s="18"/>
      <c r="F3" s="17" t="s">
        <v>858</v>
      </c>
      <c r="G3" s="17"/>
      <c r="H3" s="17"/>
      <c r="J3" s="17" t="s">
        <v>877</v>
      </c>
      <c r="K3" s="17"/>
      <c r="L3" s="17"/>
      <c r="N3" s="17" t="s">
        <v>878</v>
      </c>
      <c r="O3" s="17"/>
      <c r="P3" s="17"/>
      <c r="Q3" s="13"/>
    </row>
    <row r="4" spans="1:20" ht="31" x14ac:dyDescent="0.7">
      <c r="A4" s="11"/>
      <c r="B4" s="15">
        <f>GETPIVOTDATA("Revenue",Pivot_Reports!$A$1)</f>
        <v>551249.85</v>
      </c>
      <c r="C4" s="15"/>
      <c r="D4" s="15"/>
      <c r="F4" s="16">
        <f>GETPIVOTDATA("Count of appointment_id",Pivot_Reports!$A$8)</f>
        <v>200</v>
      </c>
      <c r="G4" s="16"/>
      <c r="H4" s="16"/>
      <c r="J4" s="16">
        <f>Pivot_Reports!B17</f>
        <v>39</v>
      </c>
      <c r="K4" s="16"/>
      <c r="L4" s="16"/>
      <c r="N4" s="16">
        <f>Pivot_Reports!B10</f>
        <v>46</v>
      </c>
      <c r="O4" s="16"/>
      <c r="P4" s="16"/>
      <c r="Q4" s="14"/>
    </row>
    <row r="18" spans="16:19" x14ac:dyDescent="0.35">
      <c r="P18" s="9" t="s">
        <v>879</v>
      </c>
      <c r="Q18" s="9"/>
      <c r="R18" s="9"/>
      <c r="S18" s="9"/>
    </row>
    <row r="19" spans="16:19" x14ac:dyDescent="0.35">
      <c r="P19" s="8"/>
      <c r="Q19" s="8"/>
      <c r="R19" s="8"/>
      <c r="S19" s="8"/>
    </row>
    <row r="20" spans="16:19" x14ac:dyDescent="0.35">
      <c r="Q20" s="8"/>
      <c r="R20" s="8"/>
      <c r="S20" s="8"/>
    </row>
  </sheetData>
  <mergeCells count="12">
    <mergeCell ref="Q20:S20"/>
    <mergeCell ref="P19:S19"/>
    <mergeCell ref="P18:S18"/>
    <mergeCell ref="J3:L3"/>
    <mergeCell ref="J4:L4"/>
    <mergeCell ref="F3:H3"/>
    <mergeCell ref="F4:H4"/>
    <mergeCell ref="B3:D3"/>
    <mergeCell ref="B4:D4"/>
    <mergeCell ref="N3:P3"/>
    <mergeCell ref="N4:P4"/>
    <mergeCell ref="A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Patients</vt:lpstr>
      <vt:lpstr>Doctors</vt:lpstr>
      <vt:lpstr>Appointments</vt:lpstr>
      <vt:lpstr>Treatments</vt:lpstr>
      <vt:lpstr>Billing</vt:lpstr>
      <vt:lpstr>KPI_Dashboard</vt:lpstr>
      <vt:lpstr>Pivot_Reports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 Maqsood</dc:creator>
  <cp:lastModifiedBy>Ansa Maqsood</cp:lastModifiedBy>
  <dcterms:created xsi:type="dcterms:W3CDTF">2026-05-18T07:19:56Z</dcterms:created>
  <dcterms:modified xsi:type="dcterms:W3CDTF">2026-05-20T17:51:00Z</dcterms:modified>
</cp:coreProperties>
</file>